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ueil" sheetId="1" state="visible" r:id="rId3"/>
    <sheet name="Récapitulatif" sheetId="2" state="visible" r:id="rId4"/>
    <sheet name="1.Biologiques" sheetId="3" state="visible" r:id="rId5"/>
    <sheet name="2.Routiers" sheetId="4" state="visible" r:id="rId6"/>
    <sheet name="3.Chimiques" sheetId="5" state="visible" r:id="rId7"/>
    <sheet name="4.Incendie-Explosion" sheetId="6" state="visible" r:id="rId8"/>
    <sheet name="5.Psycho-sociaux" sheetId="7" state="visible" r:id="rId9"/>
    <sheet name="6.Manutentions" sheetId="8" state="visible" r:id="rId10"/>
    <sheet name="7.Physiques" sheetId="9" state="visible" r:id="rId11"/>
    <sheet name="8.Circulations" sheetId="10" state="visible" r:id="rId12"/>
    <sheet name="9.Organisation interne" sheetId="11" state="visible" r:id="rId13"/>
  </sheets>
  <definedNames>
    <definedName function="false" hidden="true" localSheetId="2" name="_xlnm._FilterDatabase" vbProcedure="false">'1.Biologiques'!$A$4:$I$49</definedName>
    <definedName function="false" hidden="true" localSheetId="3" name="_xlnm._FilterDatabase" vbProcedure="false">'2.Routiers'!$A$4:$I$39</definedName>
    <definedName function="false" hidden="true" localSheetId="4" name="_xlnm._FilterDatabase" vbProcedure="false">'3.Chimiques'!$A$4:$I$81</definedName>
    <definedName function="false" hidden="true" localSheetId="5" name="_xlnm._FilterDatabase" vbProcedure="false">'4.Incendie-Explosion'!$A$4:$I$105</definedName>
    <definedName function="false" hidden="true" localSheetId="6" name="_xlnm._FilterDatabase" vbProcedure="false">'5.Psycho-sociaux'!$A$4:$I$107</definedName>
    <definedName function="false" hidden="true" localSheetId="7" name="_xlnm._FilterDatabase" vbProcedure="false">'6.Manutentions'!$A$4:$I$116</definedName>
    <definedName function="false" hidden="true" localSheetId="8" name="_xlnm._FilterDatabase" vbProcedure="false">'7.Physiques'!$A$4:$I$151</definedName>
    <definedName function="false" hidden="true" localSheetId="9" name="_xlnm._FilterDatabase" vbProcedure="false">'8.Circulations'!$A$4:$I$95</definedName>
    <definedName function="false" hidden="true" localSheetId="10" name="_xlnm._FilterDatabase" vbProcedure="false">'9.Organisation interne'!$A$4:$I$132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<sst xmlns="http://schemas.openxmlformats.org/spreadsheetml/2006/main" count="1867" uniqueCount="1779">
  <si>
    <t xml:space="preserve">DUERP AZUR PARK 2026 — AUDIT RISC-4 PAR CATÉGORIE</t>
  </si>
  <si>
    <t xml:space="preserve">Classeur de pilotage des 839 critères de l'audit sécurité des personnes — 9 catégories de risque</t>
  </si>
  <si>
    <t xml:space="preserve">Établissement</t>
  </si>
  <si>
    <t xml:space="preserve">Azur Park — RD 598A — 83580 GASSIN</t>
  </si>
  <si>
    <t xml:space="preserve">Téléphone</t>
  </si>
  <si>
    <t xml:space="preserve">06 22 76 79 40</t>
  </si>
  <si>
    <t xml:space="preserve">Email</t>
  </si>
  <si>
    <t xml:space="preserve">lunapark@wanadoo.fr</t>
  </si>
  <si>
    <t xml:space="preserve">Responsable Sécurité</t>
  </si>
  <si>
    <t xml:space="preserve">Sam PAILLON</t>
  </si>
  <si>
    <t xml:space="preserve">Consultant</t>
  </si>
  <si>
    <t xml:space="preserve">David MUSEUR (RiskAttitude / SECURE)</t>
  </si>
  <si>
    <t xml:space="preserve">Plateforme DUERP</t>
  </si>
  <si>
    <t xml:space="preserve">RISC-4 — DUE en ligne</t>
  </si>
  <si>
    <t xml:space="preserve">Référence DUERP</t>
  </si>
  <si>
    <t xml:space="preserve">DUERP-AZP-2026-V1 (DOCX consolidé)</t>
  </si>
  <si>
    <t xml:space="preserve">Date d'établissement</t>
  </si>
  <si>
    <t xml:space="preserve">Avril 2026</t>
  </si>
  <si>
    <t xml:space="preserve">Note globale 2024</t>
  </si>
  <si>
    <t xml:space="preserve">17,54 / 20 — Risque faible ou maîtrisé</t>
  </si>
  <si>
    <t xml:space="preserve">MODE D'EMPLOI</t>
  </si>
  <si>
    <t xml:space="preserve">1.</t>
  </si>
  <si>
    <t xml:space="preserve">Naviguer</t>
  </si>
  <si>
    <t xml:space="preserve">Utiliser les onglets en bas du classeur — un onglet par catégorie de risque + un récapitulatif.</t>
  </si>
  <si>
    <t xml:space="preserve">2.</t>
  </si>
  <si>
    <t xml:space="preserve">Filtrer</t>
  </si>
  <si>
    <t xml:space="preserve">Cliquer sur les flèches en haut des colonnes pour filtrer (par exemple : voir uniquement les statuts « Non »).</t>
  </si>
  <si>
    <t xml:space="preserve">3.</t>
  </si>
  <si>
    <t xml:space="preserve">Renseigner</t>
  </si>
  <si>
    <t xml:space="preserve">Pour chaque critère : choisir un statut dans la liste déroulante (Oui / Non / Sans objet / À évaluer), saisir une date, un pilote, une échéance et un commentaire.</t>
  </si>
  <si>
    <t xml:space="preserve">4.</t>
  </si>
  <si>
    <t xml:space="preserve">Codes statut</t>
  </si>
  <si>
    <t xml:space="preserve">Oui = conforme ; Non = non-conformité à traiter ; Sans objet = ne s'applique pas ; À évaluer = en attente.</t>
  </si>
  <si>
    <t xml:space="preserve">5.</t>
  </si>
  <si>
    <t xml:space="preserve">Statistiques</t>
  </si>
  <si>
    <t xml:space="preserve">L'onglet « Récapitulatif » se met à jour automatiquement à chaque modification — taux de conformité par catégorie.</t>
  </si>
  <si>
    <t xml:space="preserve">6.</t>
  </si>
  <si>
    <t xml:space="preserve">Pièces jointes</t>
  </si>
  <si>
    <t xml:space="preserve">Préciser dans la colonne « Preuve / pièce jointe » la référence du document de preuve (rapport, photo, attestation, registre…).</t>
  </si>
  <si>
    <t xml:space="preserve">7.</t>
  </si>
  <si>
    <t xml:space="preserve">Réévaluation</t>
  </si>
  <si>
    <t xml:space="preserve">À reprendre annuellement avant la saison (mai-juin) avec David MUSEUR — tracer la date de revue dans la colonne « Date d'évaluation ».</t>
  </si>
  <si>
    <t xml:space="preserve">LÉGENDE DES STATUTS</t>
  </si>
  <si>
    <t xml:space="preserve">Oui</t>
  </si>
  <si>
    <t xml:space="preserve">Conforme — pas d'action requise</t>
  </si>
  <si>
    <t xml:space="preserve">Non</t>
  </si>
  <si>
    <t xml:space="preserve">Non-conformité — action corrective à planifier</t>
  </si>
  <si>
    <t xml:space="preserve">Sans objet</t>
  </si>
  <si>
    <t xml:space="preserve">Critère non applicable à l'activité</t>
  </si>
  <si>
    <t xml:space="preserve">À évaluer</t>
  </si>
  <si>
    <t xml:space="preserve">Statut non encore tranché — visite ou décision en attente</t>
  </si>
  <si>
    <t xml:space="preserve">RÉCAPITULATIF — TABLEAU DE BORD AUDIT RISC-4</t>
  </si>
  <si>
    <t xml:space="preserve">Mise à jour automatique selon les statuts saisis dans les onglets de catégorie</t>
  </si>
  <si>
    <t xml:space="preserve">#</t>
  </si>
  <si>
    <t xml:space="preserve">Catégorie de risque</t>
  </si>
  <si>
    <t xml:space="preserve">Critères</t>
  </si>
  <si>
    <t xml:space="preserve">Note 2024</t>
  </si>
  <si>
    <t xml:space="preserve">Taux conformité</t>
  </si>
  <si>
    <t xml:space="preserve">Risques biologiques</t>
  </si>
  <si>
    <t xml:space="preserve">Non noté</t>
  </si>
  <si>
    <t xml:space="preserve">Risques routiers</t>
  </si>
  <si>
    <t xml:space="preserve">19,56/20</t>
  </si>
  <si>
    <t xml:space="preserve">Risques chimiques</t>
  </si>
  <si>
    <t xml:space="preserve">18,27/20</t>
  </si>
  <si>
    <t xml:space="preserve">Risques d'incendie et d'explosion</t>
  </si>
  <si>
    <t xml:space="preserve">17,84/20</t>
  </si>
  <si>
    <t xml:space="preserve">Risques psycho-sociaux</t>
  </si>
  <si>
    <t xml:space="preserve">16,83/20</t>
  </si>
  <si>
    <t xml:space="preserve">Risques des manutentions manuelles et mécaniques</t>
  </si>
  <si>
    <t xml:space="preserve">16,86/20</t>
  </si>
  <si>
    <t xml:space="preserve">Risques physiques</t>
  </si>
  <si>
    <t xml:space="preserve">17,05/20</t>
  </si>
  <si>
    <t xml:space="preserve">Risques des circulations et déplacements</t>
  </si>
  <si>
    <t xml:space="preserve">Organisation interne de l'entreprise</t>
  </si>
  <si>
    <t xml:space="preserve">15,60/20</t>
  </si>
  <si>
    <t xml:space="preserve">TOTAL</t>
  </si>
  <si>
    <t xml:space="preserve">17,54/20</t>
  </si>
  <si>
    <t xml:space="preserve">INDICATEURS GLOBAUX</t>
  </si>
  <si>
    <t xml:space="preserve">Total questions</t>
  </si>
  <si>
    <t xml:space="preserve">Questions conformes (Oui)</t>
  </si>
  <si>
    <t xml:space="preserve">Non-conformités (Non)</t>
  </si>
  <si>
    <t xml:space="preserve">Questions sans objet</t>
  </si>
  <si>
    <t xml:space="preserve">Questions à évaluer</t>
  </si>
  <si>
    <t xml:space="preserve">Taux de conformité global</t>
  </si>
  <si>
    <t xml:space="preserve">Taux de complétude (Oui+Non+SO)</t>
  </si>
  <si>
    <t xml:space="preserve">RISQUES BIOLOGIQUES</t>
  </si>
  <si>
    <t xml:space="preserve">Note RISC-4 (DUE 2024) : Non noté — Établissement : Azur Park (Gassin) — Référentiel : audit sécurité des personnes</t>
  </si>
  <si>
    <t xml:space="preserve">N°</t>
  </si>
  <si>
    <t xml:space="preserve">Référence</t>
  </si>
  <si>
    <t xml:space="preserve">Question / Critère</t>
  </si>
  <si>
    <t xml:space="preserve">Statut</t>
  </si>
  <si>
    <t xml:space="preserve">Date d'évaluation</t>
  </si>
  <si>
    <t xml:space="preserve">Pilote</t>
  </si>
  <si>
    <t xml:space="preserve">Échéance / Action</t>
  </si>
  <si>
    <t xml:space="preserve">Preuve / pièce jointe</t>
  </si>
  <si>
    <t xml:space="preserve">Commentaire / observations</t>
  </si>
  <si>
    <t xml:space="preserve">BIO-001</t>
  </si>
  <si>
    <t xml:space="preserve">L'entreprise connaît-elle la classification des différents agents biologiques ?</t>
  </si>
  <si>
    <t xml:space="preserve">BIO-002</t>
  </si>
  <si>
    <t xml:space="preserve">L'entreprise a-t-elle déterminé la nature, la durée et les conditions de l'exposition des travailleurs pour tous les postes de travail présentant un risque d'exposition à des agents biologiques ?</t>
  </si>
  <si>
    <t xml:space="preserve">BIO-003</t>
  </si>
  <si>
    <t xml:space="preserve">En fonction de la classe de risques encourus, l'entreprise a-t-elle procédé à une déclaration d'utilisation d'agents pathogènes à l'inspecteur régional d'hygiène et de sécurité ?</t>
  </si>
  <si>
    <t xml:space="preserve">BIO-004</t>
  </si>
  <si>
    <t xml:space="preserve">Une liste de travailleurs concernés par l'exposition aux agents de groupes 3 et 4 a-t-elle été communiquée au médecin de prévention ?</t>
  </si>
  <si>
    <t xml:space="preserve">BIO-005</t>
  </si>
  <si>
    <t xml:space="preserve">Chaque travailleur exposé à des agents biologiques pathogènes a-t-il un dossier médical spécial tenu par le médecin du travail ?</t>
  </si>
  <si>
    <t xml:space="preserve">BIO-006</t>
  </si>
  <si>
    <t xml:space="preserve">Une fiche d'exposition pour chaque travailleur exposé à des risques biologiques a-t-elle été mise en place ?</t>
  </si>
  <si>
    <t xml:space="preserve">BIO-007</t>
  </si>
  <si>
    <t xml:space="preserve">L'employeur informe-t-il le médecin du travail en cas d'absences pour cause de maladie des travailleurs exposés à des agents biologiques pathogènes ?</t>
  </si>
  <si>
    <t xml:space="preserve">BIO-008</t>
  </si>
  <si>
    <t xml:space="preserve">Dans le cas de l'apparition d'une infection chez un travailleur, le personnel susceptible d'avoir été exposé fait-il l'objet d'un examen médical ?</t>
  </si>
  <si>
    <t xml:space="preserve">BIO-009</t>
  </si>
  <si>
    <t xml:space="preserve">L'entreprise a-t-elle réfléchi à la possibilité de remplacer certains agents biologiques dangereux par d'autres qui le seraient moins ?</t>
  </si>
  <si>
    <t xml:space="preserve">BIO-010</t>
  </si>
  <si>
    <t xml:space="preserve">Les méthodes de travail et les règles de prévention des risques biologiques sont-elles connues et comprises des travailleurs exposés et de leur responsable ?</t>
  </si>
  <si>
    <t xml:space="preserve">BIO-011</t>
  </si>
  <si>
    <t xml:space="preserve">Les retours d'expérience permettent-ils de mettre à jour les documentations ?</t>
  </si>
  <si>
    <t xml:space="preserve">BIO-012</t>
  </si>
  <si>
    <t xml:space="preserve">Un groupe de travail sur les AES a-t-il été mis en place ?</t>
  </si>
  <si>
    <t xml:space="preserve">BIO-013</t>
  </si>
  <si>
    <t xml:space="preserve">Pour chacune des situations à risque identifiée, des mesures préventives ont-elles été retenues ?</t>
  </si>
  <si>
    <t xml:space="preserve">BIO-014</t>
  </si>
  <si>
    <t xml:space="preserve">Pour chacune des situations à risque identifiée, de nouvelles méthodes de travail ont-elles été élaborées ?</t>
  </si>
  <si>
    <t xml:space="preserve">BIO-015</t>
  </si>
  <si>
    <t xml:space="preserve">Existe-t-il une fiche de poste sécurité connue par toutes les personnes visées ?</t>
  </si>
  <si>
    <t xml:space="preserve">BIO-016</t>
  </si>
  <si>
    <t xml:space="preserve">Y-a-t'il un audit interne des mesures et des consignes éditées ?</t>
  </si>
  <si>
    <t xml:space="preserve">BIO-017</t>
  </si>
  <si>
    <t xml:space="preserve">Des objets piquants ou coupants sont-ils utilisés aux postes de travail ?</t>
  </si>
  <si>
    <t xml:space="preserve">BIO-018</t>
  </si>
  <si>
    <t xml:space="preserve">Des poubelles adaptées (étanches, dédiées, signalisées, etc.) sont-elles disponibles aux postes de travail ?</t>
  </si>
  <si>
    <t xml:space="preserve">BIO-019</t>
  </si>
  <si>
    <t xml:space="preserve">Les locaux comportant des risques biologiques sont-ils géographiquement isolés dans l'établissement ?</t>
  </si>
  <si>
    <t xml:space="preserve">BIO-020</t>
  </si>
  <si>
    <t xml:space="preserve">L'entreprise a-t-elle déterminé si elle doit utiliser des locaux confinés ?</t>
  </si>
  <si>
    <t xml:space="preserve">BIO-021</t>
  </si>
  <si>
    <t xml:space="preserve">Les mesures de confinement adaptées sont-elles appliquées aux locaux concernés par les risques biologiques ?</t>
  </si>
  <si>
    <t xml:space="preserve">BIO-022</t>
  </si>
  <si>
    <t xml:space="preserve">Les matériaux constituant les murs et sols des locaux comportant des risques biologiques sont-ils lavables ?</t>
  </si>
  <si>
    <t xml:space="preserve">BIO-023</t>
  </si>
  <si>
    <t xml:space="preserve">Le nettoyage des locaux assure-t-il une décontamination efficace ?</t>
  </si>
  <si>
    <t xml:space="preserve">BIO-024</t>
  </si>
  <si>
    <t xml:space="preserve">Le personnel affecté au nettoyage du matériel souillé bénéficie-t-il des EPI appropriés ?</t>
  </si>
  <si>
    <t xml:space="preserve">BIO-025</t>
  </si>
  <si>
    <t xml:space="preserve">Une animalerie est-elle présente dans l'entreprise ?</t>
  </si>
  <si>
    <t xml:space="preserve">BIO-026</t>
  </si>
  <si>
    <t xml:space="preserve">Les animaux proviennent-ils d'un élevage déclaré et sont-ils garantis exempts de certaines des zoonoses transmissibles ?</t>
  </si>
  <si>
    <t xml:space="preserve">BIO-027</t>
  </si>
  <si>
    <t xml:space="preserve">Existe-t-il dans l'animalerie des boîtes spécifiques pour l'élimination du matériel piquant ou coupant ?</t>
  </si>
  <si>
    <t xml:space="preserve">BIO-028</t>
  </si>
  <si>
    <t xml:space="preserve">Les travailleurs connaissent-ils les règles de manipulation des animaux (modes de préhension adaptés à chacun des espèces par exemple) ?</t>
  </si>
  <si>
    <t xml:space="preserve">BIO-029</t>
  </si>
  <si>
    <t xml:space="preserve">Les cadavres d'animaux et la litière souillée sont-ils évacués dans le respect des procédures de sécurité ?</t>
  </si>
  <si>
    <t xml:space="preserve">BIO-030</t>
  </si>
  <si>
    <t xml:space="preserve">Les travailleurs ont-ils reçu l'information nécessaire sur les risques biologiques auxquels leur poste les expose ?</t>
  </si>
  <si>
    <t xml:space="preserve">BIO-031</t>
  </si>
  <si>
    <t xml:space="preserve">Les travailleurs connaissent-ils les voies de contamination des organismes biologiques pathogènes ?</t>
  </si>
  <si>
    <t xml:space="preserve">BIO-032</t>
  </si>
  <si>
    <t xml:space="preserve">Les travailleurs connaissent-ils les méthodes de décontamination efficaces contre les organismes biologiques pathogènes ?</t>
  </si>
  <si>
    <t xml:space="preserve">BIO-033</t>
  </si>
  <si>
    <t xml:space="preserve">Les travailleurs sont-ils informés et formés à signaler immédiatement à l'encadrement tout accident ou incident mettant en cause un agent biologique pathogène ?</t>
  </si>
  <si>
    <t xml:space="preserve">BIO-034</t>
  </si>
  <si>
    <t xml:space="preserve">Les travailleurs sont-ils sensibilisés à signaler immédiatement à l'encadrement tout accident ou incident mettant en cause un agent biologique pathogène ?</t>
  </si>
  <si>
    <t xml:space="preserve">BIO-035</t>
  </si>
  <si>
    <t xml:space="preserve">Les travailleurs, non immunisés contre le ou les agents biologiques pathogènes auxquels ils sont ou peuvent être exposés, sont-ils vaccinés ?</t>
  </si>
  <si>
    <t xml:space="preserve">BIO-036</t>
  </si>
  <si>
    <t xml:space="preserve">Le responsable de l'organisation de la vaccination veille-t-il à ce que les travailleurs visés reçoivent l'information pertinente sur la vaccination ?</t>
  </si>
  <si>
    <t xml:space="preserve">BIO-037</t>
  </si>
  <si>
    <t xml:space="preserve">L'employeur a-t-il fourni des instructions écrites et/ou des affiches portant sur la procédure à suivre en cas d'accident ou d'incident grave mettant en cause un agent biologique pathogène ?</t>
  </si>
  <si>
    <t xml:space="preserve">BIO-038</t>
  </si>
  <si>
    <t xml:space="preserve">Au moins un responsable de la prise en charge immédiate des travailleurs en cas d'exposition accidentelle aux risques biologiques a-t-il été désigné ?</t>
  </si>
  <si>
    <t xml:space="preserve">BIO-039</t>
  </si>
  <si>
    <t xml:space="preserve">Les responsables ont-ils reçu la formation et les documents nécessaires à la prise en charge rapide des travailleurs exposés aux risques biologiques ?</t>
  </si>
  <si>
    <t xml:space="preserve">BIO-040</t>
  </si>
  <si>
    <t xml:space="preserve">Trouve-t-on dans les trousses de premiers secours la pochette d'information et les formulaires nécessaires concernant les risques biologiques ?</t>
  </si>
  <si>
    <t xml:space="preserve">BIO-041</t>
  </si>
  <si>
    <t xml:space="preserve">L'entreprise a-t-elle mis en place une filière d'élimination des déchets biologiques ?</t>
  </si>
  <si>
    <t xml:space="preserve">BIO-042</t>
  </si>
  <si>
    <t xml:space="preserve">Le local d'entreposage des déchets biologiques est-il bien conforme à la réglementation ?</t>
  </si>
  <si>
    <t xml:space="preserve">BIO-043</t>
  </si>
  <si>
    <t xml:space="preserve">L'évacuation des eaux de lavage du local d'entreposage des déchets biologiques est-elle directement faite dans les égouts ?</t>
  </si>
  <si>
    <t xml:space="preserve">BIO-044</t>
  </si>
  <si>
    <t xml:space="preserve">La porte du local d'entreposage des déchets biologiques est-elle fermée en permanence ?</t>
  </si>
  <si>
    <t xml:space="preserve">BIO-045</t>
  </si>
  <si>
    <t xml:space="preserve">Des animaux (chats, chiens, rats, etc.) ont-ils accès au local d'entreposage des déchets biologiques ?</t>
  </si>
  <si>
    <t xml:space="preserve">RISQUES ROUTIERS</t>
  </si>
  <si>
    <t xml:space="preserve">Note RISC-4 (DUE 2024) : 19,56/20 — Établissement : Azur Park (Gassin) — Référentiel : audit sécurité des personnes</t>
  </si>
  <si>
    <t xml:space="preserve">ROU-001</t>
  </si>
  <si>
    <t xml:space="preserve">Le risque d’accident de trajet est-il évalué ?</t>
  </si>
  <si>
    <t xml:space="preserve">ROU-002</t>
  </si>
  <si>
    <t xml:space="preserve">Des travailleurs sont-ils amenés à faire des déplacements piétons dans le cadre de leur travail (pour aller à la poste, faire des courses pour l'entreprise, etc.) ?</t>
  </si>
  <si>
    <t xml:space="preserve">ROU-003</t>
  </si>
  <si>
    <t xml:space="preserve">Existe-t-il un règlement spécifique (ou une charte) des déplacements routiers des travailleurs (conduite en sécurité, interdictions, recommandations, etc.) ?</t>
  </si>
  <si>
    <t xml:space="preserve">ROU-004</t>
  </si>
  <si>
    <t xml:space="preserve">Ce règlement est-il porté à leur connaissance et mis à la disposition des travailleurs ?</t>
  </si>
  <si>
    <t xml:space="preserve">ROU-005</t>
  </si>
  <si>
    <t xml:space="preserve">Les nouveaux travailleurs et/ou les intérimaires utilisant un véhicule de l'entreprise sont-ils informés des consignes de sécurité relatives aux déplacements routiers ?</t>
  </si>
  <si>
    <t xml:space="preserve">ROU-006</t>
  </si>
  <si>
    <t xml:space="preserve">Existe-t-il une liste précise de tous les travailleurs qui utilisent un véhicule routier dans le cadre de leurs fonctions (chauffeur-livreurs, commerciaux, techniciens, etc.) ?</t>
  </si>
  <si>
    <t xml:space="preserve">ROU-007</t>
  </si>
  <si>
    <t xml:space="preserve">Une analyse des déplacements (évolution, fréquence, durée, véhicules utilisés, horaires, etc.) des travailleurs qui utilisent un véhicule routier dans le cadre de leurs fonctions a-t-elle été réalisée ?</t>
  </si>
  <si>
    <t xml:space="preserve">ROU-008</t>
  </si>
  <si>
    <t xml:space="preserve">Les travailleurs exposés sont-ils formés aux gestes de premiers secours ?</t>
  </si>
  <si>
    <t xml:space="preserve">ROU-009</t>
  </si>
  <si>
    <t xml:space="preserve">Les causes d'accidents (s'il y a lieu) ont-elles été analysées, les constats amiables sont-ils étudiés ?</t>
  </si>
  <si>
    <t xml:space="preserve">ROU-010</t>
  </si>
  <si>
    <t xml:space="preserve">L'entreprise organise-t-elle des formations ou des campagnes de prévention aux risques routiers à l'attention des travailleurs ?</t>
  </si>
  <si>
    <t xml:space="preserve">ROU-011</t>
  </si>
  <si>
    <t xml:space="preserve">Les travailleurs exposés sont-ils encouragés à faire des formations pour réactualiser régulièrement leurs connaissances ?</t>
  </si>
  <si>
    <t xml:space="preserve">ROU-012</t>
  </si>
  <si>
    <t xml:space="preserve">Les travailleurs en horaires de nuit ou en travail posté sont-ils sensibilisés aux risques routiers ?</t>
  </si>
  <si>
    <t xml:space="preserve">ROU-013</t>
  </si>
  <si>
    <t xml:space="preserve">Les travailleurs en coupure qui effectuent un grand nombre de trajets sont-ils sensibilisés aux risques routiers ?</t>
  </si>
  <si>
    <t xml:space="preserve">ROU-014</t>
  </si>
  <si>
    <t xml:space="preserve">L'entreprise vérifie-t-elle régulièrement que les travailleurs concernés possèdent bien un permis de conduire correspondant au véhicule qui leur est confié ?</t>
  </si>
  <si>
    <t xml:space="preserve">ROU-015</t>
  </si>
  <si>
    <t xml:space="preserve">Un superviseur est-il nommé pour organiser les déplacements routiers des travailleurs ?</t>
  </si>
  <si>
    <t xml:space="preserve">ROU-016</t>
  </si>
  <si>
    <t xml:space="preserve">L'organisation du travail incite-t-elle à rationaliser les déplacements effectués lors des missions afin d'en limiter le nombre ?</t>
  </si>
  <si>
    <t xml:space="preserve">ROU-017</t>
  </si>
  <si>
    <t xml:space="preserve">Des mesures limitant les déplacements par la route au-delà d'une certaine distance ou d'un certain temps de conduite ont-elles été mises en place ?</t>
  </si>
  <si>
    <t xml:space="preserve">ROU-018</t>
  </si>
  <si>
    <t xml:space="preserve">Le temps de déplacement intègre-t-il les temps de repos nécessaires lors de déplacements longs ?</t>
  </si>
  <si>
    <t xml:space="preserve">ROU-019</t>
  </si>
  <si>
    <t xml:space="preserve">Une feuille de route est-elle fournie aux travailleurs dans le cadre de leurs déplacements pour l'entreprise (itinéraire, horaires, arrêts, etc.) ?</t>
  </si>
  <si>
    <t xml:space="preserve">ROU-020</t>
  </si>
  <si>
    <t xml:space="preserve">Les travailleurs concernés préparent-ils leurs déplacements à l'avance (état des routes et de la circulation, travaux, déviations, etc.) ?</t>
  </si>
  <si>
    <t xml:space="preserve">ROU-021</t>
  </si>
  <si>
    <t xml:space="preserve">Des solutions alternatives aux déplacements, telles que par exemple des audio ou visioconférences, internet, intranet, etc. ont-elles été envisagées ?</t>
  </si>
  <si>
    <t xml:space="preserve">ROU-022</t>
  </si>
  <si>
    <t xml:space="preserve">Un responsable est-il désigné pour gérer l'entretien des véhicules ?</t>
  </si>
  <si>
    <t xml:space="preserve">ROU-023</t>
  </si>
  <si>
    <t xml:space="preserve">Les véhicules de l'entreprise sont-ils maintenus en bon état de fonctionnement ?</t>
  </si>
  <si>
    <t xml:space="preserve">ROU-024</t>
  </si>
  <si>
    <t xml:space="preserve">Tous les véhicules de l'entreprise possèdent-ils un carnet d'entretien ?</t>
  </si>
  <si>
    <t xml:space="preserve">ROU-025</t>
  </si>
  <si>
    <t xml:space="preserve">Les carnets d'entretien et contrôle technique des véhicules de l'entreprise sont-ils tenus à jour ?</t>
  </si>
  <si>
    <t xml:space="preserve">ROU-026</t>
  </si>
  <si>
    <t xml:space="preserve">Les véhicules de l'entreprise sont-ils équipés de matériels de sécurité et/ou premiers secours (triangle de signalisation, extincteur en aérosol, brassard ou gilet, lampe de poche, trousse de secours) ?</t>
  </si>
  <si>
    <t xml:space="preserve">ROU-027</t>
  </si>
  <si>
    <t xml:space="preserve">Les travailleurs sont-ils informés de la conduite à tenir en cas d'accident ?</t>
  </si>
  <si>
    <t xml:space="preserve">ROU-028</t>
  </si>
  <si>
    <t xml:space="preserve">La périodicité des vérifications tient-elle compte des conditions d'utilisation réelles des véhicules ?</t>
  </si>
  <si>
    <t xml:space="preserve">ROU-029</t>
  </si>
  <si>
    <t xml:space="preserve">Le travailleur qui utilise le véhicule vérifie-t-il régulièrement son bon état de marche apparent et alerte-t-il le personnel compétent en cas de problème ?</t>
  </si>
  <si>
    <t xml:space="preserve">ROU-030</t>
  </si>
  <si>
    <t xml:space="preserve">L'entreprise a-t-elle équipé ses véhicules de systèmes de sécurité (airbags, assistance au freinage d'urgence, limiteur de vitesse, etc.) ?</t>
  </si>
  <si>
    <t xml:space="preserve">ROU-031</t>
  </si>
  <si>
    <t xml:space="preserve">Les véhicules utilisés dans le cadre du travail sont-ils aménagés à la fois pour les déplacements et les tâches à réaliser ?</t>
  </si>
  <si>
    <t xml:space="preserve">ROU-032</t>
  </si>
  <si>
    <t xml:space="preserve">Les travailleurs concernés sont-ils formés au chargement et déchargement de leur véhicule et à l'arrimage des charges, pour que les matériaux et/ou marchandises transportés ne constituent pas un facteur de risque supplémentaire pour le conducteur et ses passagers ?</t>
  </si>
  <si>
    <t xml:space="preserve">ROU-033</t>
  </si>
  <si>
    <t xml:space="preserve">Les travailleurs concernés par la manutention de charges ont-ils suivi une formation pour apprendre à soulever et à poster correctement sans endommager leur dos (gestes et postures, etc.) et connaissent-ils les conséquences éventuelles d'un levage incorrect (mauvaise technique, charges trop lourdes) ?</t>
  </si>
  <si>
    <t xml:space="preserve">ROU-034</t>
  </si>
  <si>
    <t xml:space="preserve">Pour les véhicules utilitaires légers (VUL), la partie habitacle est-elle séparée de la partie chargement ?</t>
  </si>
  <si>
    <t xml:space="preserve">ROU-035</t>
  </si>
  <si>
    <t xml:space="preserve">L'employeur interdit-il explicitement aux travailleurs de recourir à des substances alcoolisées ou psychotropes au cours de leurs déplacements pour l'entreprise ?</t>
  </si>
  <si>
    <t xml:space="preserve">RISQUES CHIMIQUES</t>
  </si>
  <si>
    <t xml:space="preserve">Note RISC-4 (DUE 2024) : 18,27/20 — Établissement : Azur Park (Gassin) — Référentiel : audit sécurité des personnes</t>
  </si>
  <si>
    <t xml:space="preserve">CHM-001</t>
  </si>
  <si>
    <t xml:space="preserve">Un inventaire des produits chimiques utilisés dans l'entreprise est-il réalisé et actualisé ?</t>
  </si>
  <si>
    <t xml:space="preserve">CHM-002</t>
  </si>
  <si>
    <t xml:space="preserve">L'entreprise est-elle en possession des documents de sécurité inhérents aux produits utilisés (fiches de données de sécurité (FDS), recommandations des fournisseurs, etc.) ?</t>
  </si>
  <si>
    <t xml:space="preserve">CHM-003</t>
  </si>
  <si>
    <t xml:space="preserve">Les fiches de données de sécurité (FDS) sont-elles transmises au médecin du travail et mises à la disposition des travailleurs (délégués du personnel, CHSCT) ?</t>
  </si>
  <si>
    <t xml:space="preserve">CHM-004</t>
  </si>
  <si>
    <t xml:space="preserve">Les FDS et les étiquettes figurant sur les produits sont-elles rédigées en langue française ?</t>
  </si>
  <si>
    <t xml:space="preserve">CHM-005</t>
  </si>
  <si>
    <t xml:space="preserve">Les préconisations contenues dans les FDS sont-elles prises en compte et respectées (conditions de stockage, d'utilisation, EPI, etc.) ?</t>
  </si>
  <si>
    <t xml:space="preserve">CHM-006</t>
  </si>
  <si>
    <t xml:space="preserve">L'encadrement contrôle-t-il régulièrement que les préconisations contenues dans les FDS sont prises en compte et respectées par les travailleurs ?</t>
  </si>
  <si>
    <t xml:space="preserve">CHM-007</t>
  </si>
  <si>
    <t xml:space="preserve">Les produits utilisés ou manipulés sont-ils tous étiquetés conformément à la législation  ?</t>
  </si>
  <si>
    <t xml:space="preserve">CHM-008</t>
  </si>
  <si>
    <t xml:space="preserve">Tous les contenants sont-ils systématiquement identifiés et étiquetés ?</t>
  </si>
  <si>
    <t xml:space="preserve">CHM-009</t>
  </si>
  <si>
    <t xml:space="preserve">Des produits inflammables, toxiques, nocifs, corrosifs ou irritants sont-ils stockés de manière accessible ?</t>
  </si>
  <si>
    <t xml:space="preserve">CHM-010</t>
  </si>
  <si>
    <t xml:space="preserve">Existe-t-il des procédures visant à limiter la durée d'exposition et le nombre de travailleurs exposés aux produits chimiques dangereux ?</t>
  </si>
  <si>
    <t xml:space="preserve">CHM-011</t>
  </si>
  <si>
    <t xml:space="preserve">Existe-t-il une filière et des procédures d'évacuation des déchets ?</t>
  </si>
  <si>
    <t xml:space="preserve">CHM-012</t>
  </si>
  <si>
    <t xml:space="preserve">CHM-013</t>
  </si>
  <si>
    <t xml:space="preserve">Des absorbants adéquats sont-ils mis à disposition des travailleurs pour récupérer et éliminer les produits qui se seraient répandus ?</t>
  </si>
  <si>
    <t xml:space="preserve">CHM-014</t>
  </si>
  <si>
    <t xml:space="preserve">Les zones où sont utilisés les produits chimiques disposent-elles des équipements nécessaires aux premiers secours (numéros d'urgence, affichage premiers secours, raccordements à l'eau courante, extincteurs, etc.) ?</t>
  </si>
  <si>
    <t xml:space="preserve">CHM-015</t>
  </si>
  <si>
    <t xml:space="preserve">A proximité des zones où sont utilisés les produits chimiques, a-t-on prévu des équipements de décontamination (rince-oeil, douche corporelle, etc.) ?</t>
  </si>
  <si>
    <t xml:space="preserve">CHM-016</t>
  </si>
  <si>
    <t xml:space="preserve">Le personnel dispose-t-il de savons non agressifs et de pommades de protection adaptées ?</t>
  </si>
  <si>
    <t xml:space="preserve">CHM-017</t>
  </si>
  <si>
    <t xml:space="preserve">Lors de transvasements d'un récipient à un autre, les consignes de sécurité sont-elles respectées (port des EPI, étiquetage des nouveaux récipients, contrôle par l'encadrement, etc.) ?</t>
  </si>
  <si>
    <t xml:space="preserve">CHM-018</t>
  </si>
  <si>
    <t xml:space="preserve">Les opérations à risques sont-elles systématiquement faites en présence du personnel d'encadrement ?</t>
  </si>
  <si>
    <t xml:space="preserve">CHM-019</t>
  </si>
  <si>
    <t xml:space="preserve">L'odeur des produits est-elle perceptible dès l'entrée ?</t>
  </si>
  <si>
    <t xml:space="preserve">CHM-020</t>
  </si>
  <si>
    <t xml:space="preserve">L'entreprise a-t-elle mis en place des procédure d'urgence en cas d'incident (appel des SST, procédures premiers secours, évacuation, etc.) ?</t>
  </si>
  <si>
    <t xml:space="preserve">CHM-021</t>
  </si>
  <si>
    <t xml:space="preserve">Les travailleurs ont-ils connaissance des procédures d'urgence en cas d'incident ?</t>
  </si>
  <si>
    <t xml:space="preserve">CHM-022</t>
  </si>
  <si>
    <t xml:space="preserve">CHM-023</t>
  </si>
  <si>
    <t xml:space="preserve">La signification des pictogrammes d'avertissement et/ou de danger concernant les produits chimiques est-elle affichée bien en vue dans l'entreprise ?</t>
  </si>
  <si>
    <t xml:space="preserve">CHM-024</t>
  </si>
  <si>
    <t xml:space="preserve">Les travailleurs connaissent-ils la signification de la signalétique et des pictogrammes figurant sur les étiquettes des différents produits (toxique, corrosif, irritant, etc.) ?</t>
  </si>
  <si>
    <t xml:space="preserve">CHM-025</t>
  </si>
  <si>
    <t xml:space="preserve">Les travailleurs sont-ils formés au maniement, à l'utilisation, au stockage et au transport en sécurité des produits chimiques ?</t>
  </si>
  <si>
    <t xml:space="preserve">CHM-026</t>
  </si>
  <si>
    <t xml:space="preserve">Les connaissances des travailleurs sur les produits chimiques et leurs dangers sont-elles régulièrement actualisées ?</t>
  </si>
  <si>
    <t xml:space="preserve">CHM-027</t>
  </si>
  <si>
    <t xml:space="preserve">Les informations nécessaires (toxicité, inflammabilité, explosivité, mesures de protection, etc.) ont-elles été transmises aux travailleurs exposés ?</t>
  </si>
  <si>
    <t xml:space="preserve">CHM-028</t>
  </si>
  <si>
    <t xml:space="preserve">Les travailleurs exposés sont-ils régulièrement informés des dangers de l'utilisation des produits chimiques, des mesures de protection à prendre, des règles comportementales, etc. ?</t>
  </si>
  <si>
    <t xml:space="preserve">CHM-029</t>
  </si>
  <si>
    <t xml:space="preserve">L'entreprise interdit-elle explicitement aux travailleurs concernés de manger, boire ou fumer à leur poste de travail ?</t>
  </si>
  <si>
    <t xml:space="preserve">CHM-030</t>
  </si>
  <si>
    <t xml:space="preserve">L'encadrement contrôle-t-il et impose-t-il le respect des mesures de protection et des règles comportementales prescrites ?</t>
  </si>
  <si>
    <t xml:space="preserve">CHM-031</t>
  </si>
  <si>
    <t xml:space="preserve">Des campagnes d'information et de prévention sur les risques chimiques sont-elles régulièrement organisées par l'entreprise pour les travailleurs exposés ?</t>
  </si>
  <si>
    <t xml:space="preserve">CHM-032</t>
  </si>
  <si>
    <t xml:space="preserve">Existe-t-il une signalétique appropriée pour signaler les zones à risques ?</t>
  </si>
  <si>
    <t xml:space="preserve">CHM-033</t>
  </si>
  <si>
    <t xml:space="preserve">La signalétique des zones à risques est-elle bien visible ?</t>
  </si>
  <si>
    <t xml:space="preserve">CHM-034</t>
  </si>
  <si>
    <t xml:space="preserve">Le personnel respecte-t-il cette signalétique ?</t>
  </si>
  <si>
    <t xml:space="preserve">CHM-035</t>
  </si>
  <si>
    <t xml:space="preserve">Existe-t-il une signalétique appropriée pour limiter l'accès des personnes non autorisées aux zones à risques ?</t>
  </si>
  <si>
    <t xml:space="preserve">CHM-036</t>
  </si>
  <si>
    <t xml:space="preserve">L'ensemble du personnel connaît-il et/ou est-il formé sur la signification des pictogrammes ?</t>
  </si>
  <si>
    <t xml:space="preserve">CHM-037</t>
  </si>
  <si>
    <t xml:space="preserve">Dans les zones où le port des EPI est obligatoire, des panneaux de sécurité rappellent-ils cette obligation ?</t>
  </si>
  <si>
    <t xml:space="preserve">CHM-038</t>
  </si>
  <si>
    <t xml:space="preserve">Une signalétique spécifique est-elle mise en place sur les réseaux, vannes, cuves, zones de dépotage, etc. ?</t>
  </si>
  <si>
    <t xml:space="preserve">CHM-039</t>
  </si>
  <si>
    <t xml:space="preserve">Des produits inflammables , toxiques , nocifs , corrosifs ou irritants sont-ils stockés en hauteur ?</t>
  </si>
  <si>
    <t xml:space="preserve">CHM-040</t>
  </si>
  <si>
    <t xml:space="preserve">Dans les locaux ou zones de travail, stockez-vous uniquement la quantité de produits nécessaire à une production précise et planifiée ?</t>
  </si>
  <si>
    <t xml:space="preserve">CHM-041</t>
  </si>
  <si>
    <t xml:space="preserve">Les zones où des vapeurs, des fumées, des brouillards et des aérosols peuvent se dégager ont-elles une aération naturelle ?</t>
  </si>
  <si>
    <t xml:space="preserve">CHM-042</t>
  </si>
  <si>
    <t xml:space="preserve">Les zones où des vapeurs, des fumées, des brouillards et des aérosols peuvent se dégager ont-elles une aération mécanique suffisante ?</t>
  </si>
  <si>
    <t xml:space="preserve">CHM-043</t>
  </si>
  <si>
    <t xml:space="preserve">Les zones où des vapeurs, des fumées, des brouillards et des aérosols peuvent se dégager ont-elles une aspiration à la source (ventilation mécanique contrôlée) ?</t>
  </si>
  <si>
    <t xml:space="preserve">CHM-044</t>
  </si>
  <si>
    <t xml:space="preserve">Les aérations sont-elles suffisantes (aspirations à la source efficaces ou orifices d'aération/d'aspiration au niveau le plus bas) ?</t>
  </si>
  <si>
    <t xml:space="preserve">CHM-045</t>
  </si>
  <si>
    <t xml:space="preserve">Les conduites d'air et leurs orifices sont-ils disposés de manière à évacuer l'air vicié sans risque ?</t>
  </si>
  <si>
    <t xml:space="preserve">CHM-046</t>
  </si>
  <si>
    <t xml:space="preserve">Des mesures ont-elles été prises pour éviter qu'une éventuelle fuite des produits et/ou de leurs vapeurs ne se propage aux zones et locaux voisins, aux canalisations, etc. (bacs de rétention, seuils de portes, etc.) ?</t>
  </si>
  <si>
    <t xml:space="preserve">CHM-047</t>
  </si>
  <si>
    <t xml:space="preserve">Les postes de travail où sont produits fumées et aérosols sont-ils bien isolés du reste de l'atelier ?</t>
  </si>
  <si>
    <t xml:space="preserve">CHM-048</t>
  </si>
  <si>
    <t xml:space="preserve">Les produits chimiques liquides dangereux sont-ils stockés au-dessus des bacs de rétention ?</t>
  </si>
  <si>
    <t xml:space="preserve">CHM-049</t>
  </si>
  <si>
    <t xml:space="preserve">Le volume des bacs de rétention est-il égal à au moins un tiers du volume des liquides stockés ?</t>
  </si>
  <si>
    <t xml:space="preserve">CHM-050</t>
  </si>
  <si>
    <t xml:space="preserve">Les installations sont-elles régulièrement entretenues par des personnes qualifiées ?</t>
  </si>
  <si>
    <t xml:space="preserve">CHM-051</t>
  </si>
  <si>
    <t xml:space="preserve">Les interventions sur les installations sont-elles consignées dans un registre ?</t>
  </si>
  <si>
    <t xml:space="preserve">CHM-052</t>
  </si>
  <si>
    <t xml:space="preserve">Les installations, y compris la ventilation, font-elles l'objet d'un plan de maintenance et d'entretien ?</t>
  </si>
  <si>
    <t xml:space="preserve">CHM-053</t>
  </si>
  <si>
    <t xml:space="preserve">Les réserves de produits sont-elles entreposées dans des locaux adaptés (local spécial ou aire de stockage extérieure, protégés de manière adéquate, bacs de rétention, fermés à clé, aérés de manière adéquate, etc.) ?</t>
  </si>
  <si>
    <t xml:space="preserve">CHM-054</t>
  </si>
  <si>
    <t xml:space="preserve">Des produits classés inflammables sont-ils stockés à ciel ouvert ?</t>
  </si>
  <si>
    <t xml:space="preserve">CHM-055</t>
  </si>
  <si>
    <t xml:space="preserve">Les produits inflammables sont-ils stockés sur des étagères ou des palettes en bois (produits inflammables sur produits combustibles) ?</t>
  </si>
  <si>
    <t xml:space="preserve">CHM-056</t>
  </si>
  <si>
    <t xml:space="preserve">Les produits pouvant entrer en réaction dangereuse entre eux sont-ils stockés dans des lieux ou locaux séparés (exemple : produits inflammables à côté de produits comburants ou explosifs) ?</t>
  </si>
  <si>
    <t xml:space="preserve">CHM-057</t>
  </si>
  <si>
    <t xml:space="preserve">L'encadrement vérifie-t-il régulièrement que les produits pouvant entrer en réaction dangereuse entre eux sont bien stockés dans des lieux ou locaux séparés (par exemple produits inflammables isolés des produits comburants ou explosifs) ?</t>
  </si>
  <si>
    <t xml:space="preserve">CHM-058</t>
  </si>
  <si>
    <t xml:space="preserve">Les locaux de stockage sont-ils aérés de manière satisfaisante naturellement ou mécaniquement ?</t>
  </si>
  <si>
    <t xml:space="preserve">CHM-059</t>
  </si>
  <si>
    <t xml:space="preserve">Dans les locaux de stockage, sentez-vous l'odeur des produits dès l'entrée ?</t>
  </si>
  <si>
    <t xml:space="preserve">CHM-060</t>
  </si>
  <si>
    <t xml:space="preserve">Des produits d'entretien et/ou produits chimiques d'usage courant (colles, acétone, alcool, peinture, etc.) sont-ils stockés en hauteur dans des placards (étagères, armoires, etc.) ?</t>
  </si>
  <si>
    <t xml:space="preserve">CHM-061</t>
  </si>
  <si>
    <t xml:space="preserve">Les produits d'entretien et/ou d'usage courant sont-ils tous étiquetés et stockés dans un placard (ou local) adapté ?</t>
  </si>
  <si>
    <t xml:space="preserve">CHM-062</t>
  </si>
  <si>
    <t xml:space="preserve">Les portes des placards ou locaux portent-elles la signalétique ''produits d'entretien'' ?</t>
  </si>
  <si>
    <t xml:space="preserve">CHM-063</t>
  </si>
  <si>
    <t xml:space="preserve">Les produits qui fuient ou qui ne possèdent pas de bouchons par exemple sont-ils jetés ?</t>
  </si>
  <si>
    <t xml:space="preserve">CHM-064</t>
  </si>
  <si>
    <t xml:space="preserve">Des produits d'entretien se trouvent-ils à proximité d'une zone où se tiennent les repas ?</t>
  </si>
  <si>
    <t xml:space="preserve">CHM-065</t>
  </si>
  <si>
    <t xml:space="preserve">Des produits d'entretien se trouvent-ils à proximité d'une zone dangereuse (émission de flamme ou d'étincelles, bonbonne de gaz, four, interrupteur électrique, etc.) ?</t>
  </si>
  <si>
    <t xml:space="preserve">CHM-066</t>
  </si>
  <si>
    <t xml:space="preserve">Les travailleurs utilisant les produits d'entretien sont-ils informés et formés à leur utilisation en sécurité ?</t>
  </si>
  <si>
    <t xml:space="preserve">CHM-067</t>
  </si>
  <si>
    <t xml:space="preserve">Les travailleurs utilisant les produits d'entretien portent-ils les EPI appropriés (gants, blouse, masque, etc.) ?</t>
  </si>
  <si>
    <t xml:space="preserve">CHM-068</t>
  </si>
  <si>
    <t xml:space="preserve">L'apparition de problèmes cutanées et/ou respiratoires sont-ils signalés à l'employeur et/ou au médecin du travail ?</t>
  </si>
  <si>
    <t xml:space="preserve">CHM-069</t>
  </si>
  <si>
    <t xml:space="preserve">Certains travailleurs utilisent-ils des colles, acétone, alcool, peinture ou d'autres produits chimiques d'usage courant dans le cadre de leur travail ?</t>
  </si>
  <si>
    <t xml:space="preserve">CHM-070</t>
  </si>
  <si>
    <t xml:space="preserve">Les travailleurs qui utilisent des colles, acétone, alcool, peinture ou d'autres produits chimiques d'usage courant dans le cadre de leur travail sont-ils informés et formés à leur utilisation en sécurité ?</t>
  </si>
  <si>
    <t xml:space="preserve">CHM-071</t>
  </si>
  <si>
    <t xml:space="preserve">Les travailleurs qui utilisent des colles, acétone, alcool, peinture ou d'autres produits chimiques d'usage courant dans le cadre de leur travail portent-ils les EPI appropriés (gants, blouse, masque, etc.) ?</t>
  </si>
  <si>
    <t xml:space="preserve">CHM-072</t>
  </si>
  <si>
    <t xml:space="preserve">A-t-il été envisagé de remplacer les produits chimiques d'usage courant (colles, acétone, alcool, peinture ou autres produits chimiques d'usage courant) par d'autres produits moins dangereux ?</t>
  </si>
  <si>
    <t xml:space="preserve">CHM-073</t>
  </si>
  <si>
    <t xml:space="preserve">Les travailleurs qui utilisent des produits d'entretien, des colles, acétone, alcool, peinture ou d'autres produits chimiques d'usage courant dans le cadre de leur travail ont-ils la possibilité de se laver soigneusement les mains et ont-ils une douche oculaire à leur disposition en cas d'accident ?</t>
  </si>
  <si>
    <t xml:space="preserve">CHM-074</t>
  </si>
  <si>
    <t xml:space="preserve">Les mélanges intempestifs de produits sont-ils interdits ?</t>
  </si>
  <si>
    <t xml:space="preserve">CHM-075</t>
  </si>
  <si>
    <t xml:space="preserve">Le déconditionnement sauvage (changement d'emballages) est-il interdit ?</t>
  </si>
  <si>
    <t xml:space="preserve">CHM-076</t>
  </si>
  <si>
    <t xml:space="preserve">Le respect des consignes d'interdiction des mélanges intempestifs, des déconditionnements sauvages, etc. est-il régulièrement contrôlé par l'encadrement ?</t>
  </si>
  <si>
    <t xml:space="preserve">CHM-077</t>
  </si>
  <si>
    <t xml:space="preserve">L'employeur pose-t-il des questions à son Service de Santé au travail sur la dangerosité des produits d'entretien courant utilisés ?</t>
  </si>
  <si>
    <t xml:space="preserve">RISQUES D'INCENDIE ET D'EXPLOSION</t>
  </si>
  <si>
    <t xml:space="preserve">Note RISC-4 (DUE 2024) : 17,84/20 — Établissement : Azur Park (Gassin) — Référentiel : audit sécurité des personnes</t>
  </si>
  <si>
    <t xml:space="preserve">INC-001</t>
  </si>
  <si>
    <t xml:space="preserve">L'entreprise a-t-elle établi et affiché d'une manière très apparente dans tous ses locaux l'ensemble des consignes concernant la lutte contre l'incendie ?</t>
  </si>
  <si>
    <t xml:space="preserve">INC-002</t>
  </si>
  <si>
    <t xml:space="preserve">L'entreprise tient-elle un registre incendie ?</t>
  </si>
  <si>
    <t xml:space="preserve">INC-003</t>
  </si>
  <si>
    <t xml:space="preserve">En cas d'intervention d'une entreprise extérieure, un permis de feu est-il systématiquement délivré ?</t>
  </si>
  <si>
    <t xml:space="preserve">INC-004</t>
  </si>
  <si>
    <t xml:space="preserve">L'entreprise vérifie-t-elle que les travailleurs respectent les consignes de sécurité (stockage de matières inflammables, papiers, etc.) ?</t>
  </si>
  <si>
    <t xml:space="preserve">INC-005</t>
  </si>
  <si>
    <t xml:space="preserve">L'entreprise est-elle située dans un IGH ?</t>
  </si>
  <si>
    <t xml:space="preserve">INC-006</t>
  </si>
  <si>
    <t xml:space="preserve">L'entreprise est-elle bien en conformité avec les directives concernant la prévention incendie dans les IGH ?</t>
  </si>
  <si>
    <t xml:space="preserve">INC-007</t>
  </si>
  <si>
    <t xml:space="preserve">L'entreprise a-t-elle établi un inventaire de tous les produits combustibles présents et utilisés dans l'entreprise ?</t>
  </si>
  <si>
    <t xml:space="preserve">INC-008</t>
  </si>
  <si>
    <t xml:space="preserve">L'entreprise a-t-elle établi une liste de tous les travailleurs utilisant des combustibles, comburants ou explosifs ?</t>
  </si>
  <si>
    <t xml:space="preserve">INC-009</t>
  </si>
  <si>
    <t xml:space="preserve">Les travailleurs utilisant des combustibles, comburants ou explosifs sont-ils formés à leur utilisation ?</t>
  </si>
  <si>
    <t xml:space="preserve">INC-010</t>
  </si>
  <si>
    <t xml:space="preserve">Les travailleurs utilisant des combustibles, comburants ou explosifs sont-ils informés des risques ?</t>
  </si>
  <si>
    <t xml:space="preserve">INC-011</t>
  </si>
  <si>
    <t xml:space="preserve">Un responsable est-il désigné pour gérer l'utilisation des combustibles, comburants ou explosifs ?</t>
  </si>
  <si>
    <t xml:space="preserve">INC-012</t>
  </si>
  <si>
    <t xml:space="preserve">Existe-t-il une interdiction explicite concernant l'utilisation des combustibles, comburants ou explosifs par les travailleurs non habilités ?</t>
  </si>
  <si>
    <t xml:space="preserve">INC-013</t>
  </si>
  <si>
    <t xml:space="preserve">L'encadrement contrôle-t-il le respect de cette interdiction ?</t>
  </si>
  <si>
    <t xml:space="preserve">INC-014</t>
  </si>
  <si>
    <t xml:space="preserve">L'entreprise veille-t-elle à ce que les quantités de produits inflammables au poste de travail soient limitées aux stricts besoins (une demi-journée ou une journée) ?</t>
  </si>
  <si>
    <t xml:space="preserve">INC-015</t>
  </si>
  <si>
    <t xml:space="preserve">L'entreprise veille-t-elle à n'utiliser que des produits et matériaux certifiés APSAD (agrément octroyé par la Fédération Française des Sociétés d'Assurances)</t>
  </si>
  <si>
    <t xml:space="preserve">INC-016</t>
  </si>
  <si>
    <t xml:space="preserve">L'entreprise s'est-elle rapprochée de sa compagnie d'assurance ?</t>
  </si>
  <si>
    <t xml:space="preserve">INC-017</t>
  </si>
  <si>
    <t xml:space="preserve">L'entreprise a-t-elle réfléchi à l'utilisation de produits de moindre inflammabilité ?</t>
  </si>
  <si>
    <t xml:space="preserve">INC-018</t>
  </si>
  <si>
    <t xml:space="preserve">INC-019</t>
  </si>
  <si>
    <t xml:space="preserve">Certains travailleurs utilisent-ils des colles, acétone, alcool, peinture ou autres produits d'usage courant dans le cadre de leur travail ?</t>
  </si>
  <si>
    <t xml:space="preserve">INC-020</t>
  </si>
  <si>
    <t xml:space="preserve">Les mélanges intempestifs de produits d'entretien ou d'usage courant sont-ils interdits ?</t>
  </si>
  <si>
    <t xml:space="preserve">INC-021</t>
  </si>
  <si>
    <t xml:space="preserve">Les locaux de stockage des produits inflammables (y compris bouteilles et réservoirs de gaz) sont-ils isolés des autres locaux ?</t>
  </si>
  <si>
    <t xml:space="preserve">INC-022</t>
  </si>
  <si>
    <t xml:space="preserve">Les locaux à risque d'incendie (chaufferie, armoires électriques, bennes à déchets, réservoirs de matières inflammables - fuel, essence, etc.) sont-ils isolés des autres locaux ?</t>
  </si>
  <si>
    <t xml:space="preserve">INC-023</t>
  </si>
  <si>
    <t xml:space="preserve">Les réservoirs de matières inflammables (fuel, essence, etc.) sont-ils isolés des autres locaux (10 mètres au minimum) ?</t>
  </si>
  <si>
    <t xml:space="preserve">INC-024</t>
  </si>
  <si>
    <t xml:space="preserve">Les locaux à risque d'incendie et leur dispositifs de sécurité sont-ils conformes à toutes les réglementations en vigueur (rétention, étanchéité, ventilation, type d'éclairage, matériaux de construction, etc.) ?</t>
  </si>
  <si>
    <t xml:space="preserve">INC-025</t>
  </si>
  <si>
    <t xml:space="preserve">Les moyens de circulation et d'évacuation de ces locaux sont-ils adaptés et conformes à la réglementation en vigueur ?</t>
  </si>
  <si>
    <t xml:space="preserve">INC-026</t>
  </si>
  <si>
    <t xml:space="preserve">L'accès aux locaux de stockage des produits dangereux est-il interdit aux personnes non autorisées ?</t>
  </si>
  <si>
    <t xml:space="preserve">INC-027</t>
  </si>
  <si>
    <t xml:space="preserve">Est-il fait en sorte que le stockage des produits dangereux soit réparti dans plusieurs bâtiments ?</t>
  </si>
  <si>
    <t xml:space="preserve">INC-028</t>
  </si>
  <si>
    <t xml:space="preserve">Est-il fait en sorte que le stockage des produits dangereux ne soit pas fait en hauteur ou à défaut est-il fait en sorte d'en limiter la hauteur ?</t>
  </si>
  <si>
    <t xml:space="preserve">INC-029</t>
  </si>
  <si>
    <t xml:space="preserve">Les locaux de stockage des produits dangereux sont-ils en bon état ?</t>
  </si>
  <si>
    <t xml:space="preserve">INC-030</t>
  </si>
  <si>
    <t xml:space="preserve">Les locaux de stockage des produits dangereux sont-ils correctement entretenus ?</t>
  </si>
  <si>
    <t xml:space="preserve">INC-031</t>
  </si>
  <si>
    <t xml:space="preserve">Les locaux de stockage des produits dangereux sont-ils régulièrement vérifiés ?</t>
  </si>
  <si>
    <t xml:space="preserve">INC-032</t>
  </si>
  <si>
    <t xml:space="preserve">Les locaux de stockage des produits dangereux  à risque d'incendie sont-ils correctement ventilés ?</t>
  </si>
  <si>
    <t xml:space="preserve">INC-033</t>
  </si>
  <si>
    <t xml:space="preserve">Si des travailleurs travaillent à proximité des locaux de stockage de produits dangereux, sont-ils informés des risques encourus ?</t>
  </si>
  <si>
    <t xml:space="preserve">INC-034</t>
  </si>
  <si>
    <t xml:space="preserve">Si des travailleurs travaillent à proximité des locaux de stockage de produits dangereux, sont-ils informés des procédures et consignes spécifiques d'évacuation ?</t>
  </si>
  <si>
    <t xml:space="preserve">INC-035</t>
  </si>
  <si>
    <t xml:space="preserve">Les numéros d'urgence sont-ils affichés bien en vue à proximité et à l'intérieur des locaux de stockage de produits dangereux ?</t>
  </si>
  <si>
    <t xml:space="preserve">INC-036</t>
  </si>
  <si>
    <t xml:space="preserve">L'interdiction de fumer est-elle clairement affichée à l'extérieur et à l'intérieur des locaux à risque d'incendie ?</t>
  </si>
  <si>
    <t xml:space="preserve">INC-037</t>
  </si>
  <si>
    <t xml:space="preserve">Les locaux à risque d'incendie sont-ils fermés à clé ?</t>
  </si>
  <si>
    <t xml:space="preserve">INC-038</t>
  </si>
  <si>
    <t xml:space="preserve">Après usage, les chiffons, cotons et papiers imprégnés de liquides inflammables ou de matières grasses sont-ils enfermés dans des récipients métalliques clos et étanches ?</t>
  </si>
  <si>
    <t xml:space="preserve">INC-039</t>
  </si>
  <si>
    <t xml:space="preserve">Les locaux sont-ils conçus pour permettre l'évacuation rapide des travailleurs ?</t>
  </si>
  <si>
    <t xml:space="preserve">INC-040</t>
  </si>
  <si>
    <t xml:space="preserve">Existe-t-il dans l'entreprise un responsable nommé chargé de l'évacuation ?</t>
  </si>
  <si>
    <t xml:space="preserve">INC-041</t>
  </si>
  <si>
    <t xml:space="preserve">Existe-t-il dans chaque local un responsable chargé de l'évacuation du personnel ?</t>
  </si>
  <si>
    <t xml:space="preserve">INC-042</t>
  </si>
  <si>
    <t xml:space="preserve">Existe-t-il dans l'établissement un plan d'évacuation de l'établissement en cas d'incendie ?</t>
  </si>
  <si>
    <t xml:space="preserve">INC-043</t>
  </si>
  <si>
    <t xml:space="preserve">Ce plan d'évacuation en cas d'incendie est-il affiché dans tous les locaux ?</t>
  </si>
  <si>
    <t xml:space="preserve">INC-044</t>
  </si>
  <si>
    <t xml:space="preserve">Ce plan d'évacuation en cas d'incendie est-il connu des travailleurs ?</t>
  </si>
  <si>
    <t xml:space="preserve">INC-045</t>
  </si>
  <si>
    <t xml:space="preserve">Existe-t-il dans l'établissement un balisage et/ou une signalisation des différents itinéraires d'évacuation en cas d'incendie ?</t>
  </si>
  <si>
    <t xml:space="preserve">INC-046</t>
  </si>
  <si>
    <t xml:space="preserve">L'entreprise vérifie-t-elle régulièrement le bon fonctionnement du balisage et la signalisation des différents itinéraires d'évacuation en cas d'incendie ?</t>
  </si>
  <si>
    <t xml:space="preserve">INC-047</t>
  </si>
  <si>
    <t xml:space="preserve">Le nombre de dégagements prévus en cas d'évacuation sont-ils conformes à toutes les réglementations en vigueur ?</t>
  </si>
  <si>
    <t xml:space="preserve">INC-048</t>
  </si>
  <si>
    <t xml:space="preserve">Les portes susceptibles d'être utilisées en cas d'évacuation sont-elles conformes à toutes les réglementations en vigueur ?</t>
  </si>
  <si>
    <t xml:space="preserve">INC-049</t>
  </si>
  <si>
    <t xml:space="preserve">Les issues de secours sont-elles bien fléchées et bien repérées ?</t>
  </si>
  <si>
    <t xml:space="preserve">INC-050</t>
  </si>
  <si>
    <t xml:space="preserve">Les voies et issues de secours sont-elles toujours dégagées ?</t>
  </si>
  <si>
    <t xml:space="preserve">INC-051</t>
  </si>
  <si>
    <t xml:space="preserve">Les portes coupe-feu sont-elles toujours dégagées ?</t>
  </si>
  <si>
    <t xml:space="preserve">INC-052</t>
  </si>
  <si>
    <t xml:space="preserve">Les portes coupe-feu fonctionnent-elles correctement (bon état des ventouses, des sélecteurs de fermeture, etc.) ?</t>
  </si>
  <si>
    <t xml:space="preserve">INC-053</t>
  </si>
  <si>
    <t xml:space="preserve">Les joints des portes coupe-feu sont-ils en bon état ?</t>
  </si>
  <si>
    <t xml:space="preserve">INC-054</t>
  </si>
  <si>
    <t xml:space="preserve">Les portes coupe-feu sont-elles régulièrement vérifiées ?</t>
  </si>
  <si>
    <t xml:space="preserve">INC-055</t>
  </si>
  <si>
    <t xml:space="preserve">L'entreprise effectue-t-elle régulièrement des exercices d'évacuation de l'établissement ?</t>
  </si>
  <si>
    <t xml:space="preserve">INC-056</t>
  </si>
  <si>
    <t xml:space="preserve">Un bilan est-il fait à l'issue des exercices d'évacuation ?</t>
  </si>
  <si>
    <t xml:space="preserve">INC-057</t>
  </si>
  <si>
    <t xml:space="preserve">Un bilan est-il discuté en CHSCT ?</t>
  </si>
  <si>
    <t xml:space="preserve">INC-058</t>
  </si>
  <si>
    <t xml:space="preserve">Les voies d'accès des sapeurs-pompiers sont-elles toujours laissées libres ?</t>
  </si>
  <si>
    <t xml:space="preserve">INC-059</t>
  </si>
  <si>
    <t xml:space="preserve">Est-il contrôlé que l'interdiction de garer les véhicules devant les bornes incendie est toujours respectée ?</t>
  </si>
  <si>
    <t xml:space="preserve">INC-060</t>
  </si>
  <si>
    <t xml:space="preserve">Existe-t-il un système d'alarme incendie dans l'établissement ?</t>
  </si>
  <si>
    <t xml:space="preserve">INC-061</t>
  </si>
  <si>
    <t xml:space="preserve">Les travailleurs sont-ils formés à l'utilisation du système d'alarme incendie ?</t>
  </si>
  <si>
    <t xml:space="preserve">INC-062</t>
  </si>
  <si>
    <t xml:space="preserve">L'entreprise vérifie-t-elle régulièrement le bon fonctionnement du système d'alarme incendie ?</t>
  </si>
  <si>
    <t xml:space="preserve">INC-063</t>
  </si>
  <si>
    <t xml:space="preserve">L'entreprise a-t-elle mis en place une procédure précise concernant l'alerte en cas d'incendie et nommé un ou plusieurs responsables formés et compétents en charge de son application ?</t>
  </si>
  <si>
    <t xml:space="preserve">INC-064</t>
  </si>
  <si>
    <t xml:space="preserve">Ces consignes à appliquer en cas d'incendie sont-elles connues des travailleurs ?</t>
  </si>
  <si>
    <t xml:space="preserve">INC-065</t>
  </si>
  <si>
    <t xml:space="preserve">Les nouveaux travailleurs, travailleurs intérimaires sont-ils formés et informés à l'alerte incendie ?</t>
  </si>
  <si>
    <t xml:space="preserve">INC-066</t>
  </si>
  <si>
    <t xml:space="preserve">Existe-t-il dans l'établissement un plan général avec repérage des locaux à risques spécifiques (local technique électrique, lieux de stockage de produits inflammables, dangereux, etc.) ?</t>
  </si>
  <si>
    <t xml:space="preserve">INC-067</t>
  </si>
  <si>
    <t xml:space="preserve">Ce plan général est-il connu des travailleurs ?</t>
  </si>
  <si>
    <t xml:space="preserve">INC-068</t>
  </si>
  <si>
    <t xml:space="preserve">Existe-t-il dans l'entreprise un dossier technique pour les équipes de sécurité où figurent les différentes installations techniques (ascenseurs, locaux électriques, moyens de secours, dangers potentiels, etc.) et les premières mesures à prendre ?</t>
  </si>
  <si>
    <t xml:space="preserve">INC-069</t>
  </si>
  <si>
    <t xml:space="preserve">L'entreprise organise-t-elle régulièrement des simulations d'alarme incendie ?</t>
  </si>
  <si>
    <t xml:space="preserve">INC-070</t>
  </si>
  <si>
    <t xml:space="preserve">Les installations électriques sont-elles vérifiées tous les ans par un technicien compétent ou un organisme agréé ?</t>
  </si>
  <si>
    <t xml:space="preserve">INC-071</t>
  </si>
  <si>
    <t xml:space="preserve">Le technicien ou l'organisme agréé remettent-ils un rapport de leur intervention ?</t>
  </si>
  <si>
    <t xml:space="preserve">INC-072</t>
  </si>
  <si>
    <t xml:space="preserve">Les installations électriques sont-elles entretenues par un personnel qualifié (changement ampoules électriques, etc.) ?</t>
  </si>
  <si>
    <t xml:space="preserve">INC-073</t>
  </si>
  <si>
    <t xml:space="preserve">Les appareils électriques personnels sont-ils interdits ou sujets à autorisation (ventilateur, chauffage d'appoint, etc.) ?</t>
  </si>
  <si>
    <t xml:space="preserve">INC-074</t>
  </si>
  <si>
    <t xml:space="preserve">Une information concernant la sécurité des installations électrique (branchements dangereux, etc.) est-elle dispensée régulièrement ?</t>
  </si>
  <si>
    <t xml:space="preserve">INC-075</t>
  </si>
  <si>
    <t xml:space="preserve">Les installations de gaz sont-elles vérifiées tous les ans par un technicien compétent ou un organisme agréé ?</t>
  </si>
  <si>
    <t xml:space="preserve">INC-076</t>
  </si>
  <si>
    <t xml:space="preserve">Le technicien ou l'organisme agréé chargé de vérifier les installations de gaz remettent-ils un rapport de leur intervention ?</t>
  </si>
  <si>
    <t xml:space="preserve">INC-077</t>
  </si>
  <si>
    <t xml:space="preserve">La ventilation des locaux contenant les installations de gaz est-elle vérifiée régulièrement ?</t>
  </si>
  <si>
    <t xml:space="preserve">INC-078</t>
  </si>
  <si>
    <t xml:space="preserve">Les appareils fonctionnant au gaz sont-ils éteints quand cela est nécessaire ?</t>
  </si>
  <si>
    <t xml:space="preserve">INC-079</t>
  </si>
  <si>
    <t xml:space="preserve">Les installations de chauffage sont-elles contrôlées par un organisme compétent et à une  fréquence adaptée ?</t>
  </si>
  <si>
    <t xml:space="preserve">INC-080</t>
  </si>
  <si>
    <t xml:space="preserve">Les installations de chauffage font-elles l'objet d'un contrat de maintenance incluant une vérification annuelle de la conformité des installations de chaufferie ?</t>
  </si>
  <si>
    <t xml:space="preserve">INC-081</t>
  </si>
  <si>
    <t xml:space="preserve">Les installations d'appareils de cuisson destinés à la restauration sont-elles vérifiées chaque année par un technicien compétent ?</t>
  </si>
  <si>
    <t xml:space="preserve">INC-082</t>
  </si>
  <si>
    <t xml:space="preserve">Les conduits d'évacuation sont-ils régulièrement ramonés ?</t>
  </si>
  <si>
    <t xml:space="preserve">INC-083</t>
  </si>
  <si>
    <t xml:space="preserve">Les travailleurs sont-ils formés à l'utilisation du système de sécurité incendie ?</t>
  </si>
  <si>
    <t xml:space="preserve">INC-084</t>
  </si>
  <si>
    <t xml:space="preserve">Le système de sécurité incendie fait-il l'objet d'un contrat de maintenance incluant une visite annuelle par un technicien compétent ?</t>
  </si>
  <si>
    <t xml:space="preserve">INC-085</t>
  </si>
  <si>
    <t xml:space="preserve">Le système de sécurité incendie est-il vérifié tous les 3 ans par un organisme agréé ?</t>
  </si>
  <si>
    <t xml:space="preserve">INC-086</t>
  </si>
  <si>
    <t xml:space="preserve">Des installations de désenfumage sont-elles présentes et adaptées à l'entreprise ?</t>
  </si>
  <si>
    <t xml:space="preserve">INC-087</t>
  </si>
  <si>
    <t xml:space="preserve">Les installations de désenfumage sont-elles vérifiées tous les ans par un technicien compétent ?</t>
  </si>
  <si>
    <t xml:space="preserve">INC-088</t>
  </si>
  <si>
    <t xml:space="preserve">Effectuez-vous un test de mise au repos et remise en veille de l'éclairage de sécurité tous les mois ?</t>
  </si>
  <si>
    <t xml:space="preserve">INC-089</t>
  </si>
  <si>
    <t xml:space="preserve">Effectuez-vous un test d'autonomie d'au moins une heure de l'éclairage de sécurité tous les 6 mois ?</t>
  </si>
  <si>
    <t xml:space="preserve">INC-090</t>
  </si>
  <si>
    <t xml:space="preserve">L'éclairage de sécurité est-il vérifié tous les ans par un technicien compétent ?</t>
  </si>
  <si>
    <t xml:space="preserve">INC-091</t>
  </si>
  <si>
    <t xml:space="preserve">Les extincteurs présents dans l'entreprise sont-ils maintenus en bon état de marche ?</t>
  </si>
  <si>
    <t xml:space="preserve">INC-092</t>
  </si>
  <si>
    <t xml:space="preserve">Les extincteurs présents dans l'entreprise sont-ils aux normes ?</t>
  </si>
  <si>
    <t xml:space="preserve">INC-093</t>
  </si>
  <si>
    <t xml:space="preserve">Les extincteurs sont-ils visibles et accessibles en permanence ?</t>
  </si>
  <si>
    <t xml:space="preserve">INC-094</t>
  </si>
  <si>
    <t xml:space="preserve">Les extincteurs sont-ils facilement décrochables (poignée de portage à 1,20 m du sol au maximum) ?</t>
  </si>
  <si>
    <t xml:space="preserve">INC-095</t>
  </si>
  <si>
    <t xml:space="preserve">Les extincteurs sont-ils en nombre suffisant (1 extincteur portatif à eau pulvérisée de 6 litres minimum pour 200 mètres carrés de plancher, avec un minimum d'un appareil par niveau) ?</t>
  </si>
  <si>
    <t xml:space="preserve">INC-096</t>
  </si>
  <si>
    <t xml:space="preserve">Les extincteurs sont-ils parfaitement appropriés aux différents types de risques ?</t>
  </si>
  <si>
    <t xml:space="preserve">INC-097</t>
  </si>
  <si>
    <t xml:space="preserve">Les travailleurs sont-ils formés à l'utilisation des extincteurs ?</t>
  </si>
  <si>
    <t xml:space="preserve">INC-098</t>
  </si>
  <si>
    <t xml:space="preserve">L'entreprise procède-t-elle au moins tous les trimestres à la vérification du bon état apparent des extincteurs ?</t>
  </si>
  <si>
    <t xml:space="preserve">INC-099</t>
  </si>
  <si>
    <t xml:space="preserve">Une vérification des extincteurs est-elle effectuée tous les ans par un technicien compétent ou un organisme vérificateur agréé ?</t>
  </si>
  <si>
    <t xml:space="preserve">INC-100</t>
  </si>
  <si>
    <t xml:space="preserve">Les extincteurs sont-ils répertoriés sur un plan général de l'établissement ?</t>
  </si>
  <si>
    <t xml:space="preserve">INC-101</t>
  </si>
  <si>
    <t xml:space="preserve">Des moyens de lutte contre l'incendie autre que les extincteurs sont-ils présents et suivi dans l'entreprise ?</t>
  </si>
  <si>
    <t xml:space="preserve">RISQUES PSYCHO-SOCIAUX</t>
  </si>
  <si>
    <t xml:space="preserve">Note RISC-4 (DUE 2024) : 16,83/20 — Établissement : Azur Park (Gassin) — Référentiel : audit sécurité des personnes</t>
  </si>
  <si>
    <t xml:space="preserve">RPS-001</t>
  </si>
  <si>
    <t xml:space="preserve">L'employeur et/ou l'encadrement prennent-ils en compte les remarques des travailleurs ou de l'encadrement concernant l'organisation de travail (charge de travail, cadences, stress, interlocuteurs multiples, horaires, contrainte du public, etc.) ?</t>
  </si>
  <si>
    <t xml:space="preserve">RPS-002</t>
  </si>
  <si>
    <t xml:space="preserve">L'employeur connaît-il les conséquences de la fatigue, du surmenage, du stress, etc. sur la santé et la sécurité des travailleurs ?</t>
  </si>
  <si>
    <t xml:space="preserve">RPS-003</t>
  </si>
  <si>
    <t xml:space="preserve">L'entreprise a-t-elle consulté le médecin de travail afin d'obtenir des informations sur la notion de charge mentale (fatigue, stress, etc.) et de ses conséquences sur la santé des travailleurs ?</t>
  </si>
  <si>
    <t xml:space="preserve">RPS-004</t>
  </si>
  <si>
    <t xml:space="preserve">L'entreprise a-t-elle un surcroît d'activité à certaines périodes de la journée et/ou à certaines périodes de l'année ?</t>
  </si>
  <si>
    <t xml:space="preserve">RPS-005</t>
  </si>
  <si>
    <t xml:space="preserve">D'une manière générale, les travailleurs subissant un surcroît de travail sont-ils aidés par les autres travailleurs (répartition des tâches par exemple) ?</t>
  </si>
  <si>
    <t xml:space="preserve">RPS-006</t>
  </si>
  <si>
    <t xml:space="preserve">Certains travailleurs travaillent-ils à la chaîne, en cadences élevées et/ou répètent-ils continuellement une même série de gestes ou d'opérations ?</t>
  </si>
  <si>
    <t xml:space="preserve">RPS-007</t>
  </si>
  <si>
    <t xml:space="preserve">Les travailleurs qui travaillent à la chaîne, en cadences élevées et/ou qui répètent continuellement un geste ou une même série de gestes ou d'opérations bénéficient-ils de pauses ?</t>
  </si>
  <si>
    <t xml:space="preserve">RPS-008</t>
  </si>
  <si>
    <t xml:space="preserve">La durée des pauses et leur fréquence sont-elles suffisantes pour permettre la récupération nécessaire ?</t>
  </si>
  <si>
    <t xml:space="preserve">RPS-009</t>
  </si>
  <si>
    <t xml:space="preserve">Les travailleurs qui travaillent à la chaîne, en cadences élevées et/ou qui répètent continuellement une même série de gestes ont-ils la possibilité d'influer sur le rythme de leur travail (par exemple arrêter la machine lorsqu'ils ne peuvent plus suivre) et/ou d'interrompre momentanément leur travail ?</t>
  </si>
  <si>
    <t xml:space="preserve">RPS-010</t>
  </si>
  <si>
    <t xml:space="preserve">Certains travailleurs travaillent-ils en flux tendu et/ou en juste-à-temps (livraisons, service à la clientèle, etc.) ?</t>
  </si>
  <si>
    <t xml:space="preserve">RPS-011</t>
  </si>
  <si>
    <t xml:space="preserve">L'entreprise emploie-t-elle des travailleurs en travail de nuit ?</t>
  </si>
  <si>
    <t xml:space="preserve">RPS-012</t>
  </si>
  <si>
    <t xml:space="preserve">Certains postes de travail impliquent-ils des horaires de travail irréguliers ?</t>
  </si>
  <si>
    <t xml:space="preserve">RPS-013</t>
  </si>
  <si>
    <t xml:space="preserve">Certains travailleurs travaillent-ils le samedi et/ou le dimanche ?</t>
  </si>
  <si>
    <t xml:space="preserve">RPS-014</t>
  </si>
  <si>
    <t xml:space="preserve">Les travailleurs sont-ils consultés et/ou participent-ils à l'organisation du travail en général et à la planification des tâches ?</t>
  </si>
  <si>
    <t xml:space="preserve">RPS-015</t>
  </si>
  <si>
    <t xml:space="preserve">Est-il prévu de procéder à une rotation du personnel pour les travaux les plus exigeants ?</t>
  </si>
  <si>
    <t xml:space="preserve">RPS-016</t>
  </si>
  <si>
    <t xml:space="preserve">D'une manière générale, l'entreprise favorise-t-elle les rotations de postes et la polyvalence des travailleurs afin de répartir les tâches monotones, à cadences élevées et/ou répétitives ?</t>
  </si>
  <si>
    <t xml:space="preserve">RPS-017</t>
  </si>
  <si>
    <t xml:space="preserve">Existe-t-il une évaluation des effectifs en fonction de la charge de travail ?</t>
  </si>
  <si>
    <t xml:space="preserve">RPS-018</t>
  </si>
  <si>
    <t xml:space="preserve">Dans la mesure du possible, l'entreprise veille-t-elle à éliminer les nuisances (bruit, poussière, chaleur, courants d'air, etc.) à proximité des postes de travail ?</t>
  </si>
  <si>
    <t xml:space="preserve">RPS-019</t>
  </si>
  <si>
    <t xml:space="preserve">Existe-t-il des fiches de poste listant les tâches demandées aux travailleurs concernés ?</t>
  </si>
  <si>
    <t xml:space="preserve">RPS-020</t>
  </si>
  <si>
    <t xml:space="preserve">Existe-t-il des fiches de poste ou de fonction listant les responsabilités assignées à chaque travailleur par l'entreprise ou l'encadrement ?</t>
  </si>
  <si>
    <t xml:space="preserve">RPS-021</t>
  </si>
  <si>
    <t xml:space="preserve">La définition des tâches, des activités et des responsabilités assignées à chaque travailleur est-elle connue des travailleurs concernés et formalisée (feuille de route, réunion, tableau de bord, etc.) ?</t>
  </si>
  <si>
    <t xml:space="preserve">RPS-022</t>
  </si>
  <si>
    <t xml:space="preserve">Les travailleurs connaissent-ils à l'avance les tâches qu'ils auront à effectuer ?</t>
  </si>
  <si>
    <t xml:space="preserve">RPS-023</t>
  </si>
  <si>
    <t xml:space="preserve">L'entreprise vérifie-t-elle que les travailleurs bénéficient des explications et/ou de la formation suffisantes pour exécuter les tâches qui leur sont demandées ?</t>
  </si>
  <si>
    <t xml:space="preserve">RPS-024</t>
  </si>
  <si>
    <t xml:space="preserve">L'entreprise a-t-elle étudié un plan d'aménagement des postes de travail en tenant compte des remarques des travailleurs, du médecin du travail et/ou partenaires en santé ?</t>
  </si>
  <si>
    <t xml:space="preserve">RPS-025</t>
  </si>
  <si>
    <t xml:space="preserve">Le travail est-il organisé afin d'être effectué sans interruption (visites de clients, de coups de téléphone, etc.) ?</t>
  </si>
  <si>
    <t xml:space="preserve">RPS-026</t>
  </si>
  <si>
    <t xml:space="preserve">Les travailleurs ont-ils la possibilité d'organiser leur travail (regrouper les tâches, gérer les rotations, etc.) pour limiter les interruptions ?</t>
  </si>
  <si>
    <t xml:space="preserve">RPS-027</t>
  </si>
  <si>
    <t xml:space="preserve">Les postes de l'entreprise en contact direct avec le public sont-ils répertoriés ?</t>
  </si>
  <si>
    <t xml:space="preserve">RPS-028</t>
  </si>
  <si>
    <t xml:space="preserve">Certains travailleurs ont-ils à gérer des tensions et/ou une charge émotionnelle élevée lors de leurs contacts avec le public ?</t>
  </si>
  <si>
    <t xml:space="preserve">RPS-029</t>
  </si>
  <si>
    <t xml:space="preserve">Certains travailleurs courent-ils le risque d'être agressés verbalement et/ou physiquement dans le cadre de leur travail ?</t>
  </si>
  <si>
    <t xml:space="preserve">RPS-030</t>
  </si>
  <si>
    <t xml:space="preserve">Certains travailleurs qui courent le risque d'être agressés verbalement et/ou physiquement dans le cadre de leur travail bénéficient-ils d'une formation spécifique et/ou sont-ils formés à l'accueil et à la gestion du stress et/ou des conflits ?</t>
  </si>
  <si>
    <t xml:space="preserve">RPS-031</t>
  </si>
  <si>
    <t xml:space="preserve">Un travailleur en difficulté avec le public peut-il facilement appeler à l'aide un collègue et/ou l'encadrement (sonnerie, téléphone, etc.) ?</t>
  </si>
  <si>
    <t xml:space="preserve">RPS-032</t>
  </si>
  <si>
    <t xml:space="preserve">Certains travailleurs en contact direct avec le public sont-ils seuls ou isolés (gardien de parking, vendeur, maintenance, etc.) ?</t>
  </si>
  <si>
    <t xml:space="preserve">RPS-033</t>
  </si>
  <si>
    <t xml:space="preserve">Les postes des travailleurs en contact direct avec le public et qui travaillent seuls ou isolés (gardien de parking, vendeur, vigile, maintenance, etc.) sont-ils répertoriés ?</t>
  </si>
  <si>
    <t xml:space="preserve">RPS-034</t>
  </si>
  <si>
    <t xml:space="preserve">Des procédures de sécurité ont-elles été mises en place pour les travailleurs qui travaillent seuls afin qu'ils puissent facilement appeler à l'aide (alarme, télésurveillance, contrôle ou visite périodique, etc.) ?</t>
  </si>
  <si>
    <t xml:space="preserve">RPS-035</t>
  </si>
  <si>
    <t xml:space="preserve">Les postes des travailleurs qui travaillent seuls sont-ils particulièrement étudiés afin de limiter les risques (isolement, violence, agression, etc.) ?</t>
  </si>
  <si>
    <t xml:space="preserve">RPS-036</t>
  </si>
  <si>
    <t xml:space="preserve">L'entreprise a-t-elle organisé un plan d'évacuation et de premiers secours pour les travailleurs qui travaillent seuls ?</t>
  </si>
  <si>
    <t xml:space="preserve">RPS-037</t>
  </si>
  <si>
    <t xml:space="preserve">Toutes les précautions de sécurité concernant les travailleurs amenés à manipuler des espèces sont-elles prises ?</t>
  </si>
  <si>
    <t xml:space="preserve">RPS-038</t>
  </si>
  <si>
    <t xml:space="preserve">Certains travailleurs sont-ils amenés à transporter des petites sommes (transport à la banque par exemple) ?</t>
  </si>
  <si>
    <t xml:space="preserve">RPS-039</t>
  </si>
  <si>
    <t xml:space="preserve">L'entreprise tient-elle compte des aptitudes des travailleurs avant de leur confier une tâche en contact avec le public (jeune âge, expérience, capacité à gérer le stress, résistance psychique, etc.) ?</t>
  </si>
  <si>
    <t xml:space="preserve">RPS-040</t>
  </si>
  <si>
    <t xml:space="preserve">L'employeur a-t-il défini clairement dans le règlement intérieur les actes acceptables et inacceptables en matière de relations entre les personnes au sein de l'entreprise ?</t>
  </si>
  <si>
    <t xml:space="preserve">RPS-041</t>
  </si>
  <si>
    <t xml:space="preserve">L'employeur a-t-il précisé clairement dans le règlement intérieur à l'encadrement les limites acceptables de l'exercice de leur autorité afin d'éviter tout abus de pouvoir ?</t>
  </si>
  <si>
    <t xml:space="preserve">RPS-042</t>
  </si>
  <si>
    <t xml:space="preserve">L'employeur a-t-il clairement interdit dans le règlement intérieur tout acte de harcèlement moral ou sexuel dans le règlement intérieur de l'entreprise ?</t>
  </si>
  <si>
    <t xml:space="preserve">RPS-043</t>
  </si>
  <si>
    <t xml:space="preserve">L'employeur a-t-il clairement informé dans le règlement intérieur l'ensemble des travailleurs sur la loi et ses conséquences en matière de harcèlement moral ou sexuel ?</t>
  </si>
  <si>
    <t xml:space="preserve">RPS-044</t>
  </si>
  <si>
    <t xml:space="preserve">Des campagnes de sensibilisation sont-elles régulièrement menées pour informer les travailleurs sur le harcèlement moral ou sexuel ?</t>
  </si>
  <si>
    <t xml:space="preserve">RPS-045</t>
  </si>
  <si>
    <t xml:space="preserve">L'employeur a-t-il mis en place, avant tout contentieux, une procédure de médiation pour les personnes qui s'estiment victimes de harcèlement moral ou sexuel ?</t>
  </si>
  <si>
    <t xml:space="preserve">RPS-046</t>
  </si>
  <si>
    <t xml:space="preserve">L'employeur a-t-il informé l'ensemble des travailleurs de cette procédure de médiation ?</t>
  </si>
  <si>
    <t xml:space="preserve">RPS-047</t>
  </si>
  <si>
    <t xml:space="preserve">Le nom du médiateur est-il affiché et/ou est-il connu de tous les travailleurs ?</t>
  </si>
  <si>
    <t xml:space="preserve">RPS-048</t>
  </si>
  <si>
    <t xml:space="preserve">L'employeur a-t-il mis en place une procédure de prise en charge par l'entreprise, des travailleurs estimant subir un harcèlement moral ou sexuel (médecin ou psychologue du travail, assistante sociale, délégué du personnel, etc.) ?</t>
  </si>
  <si>
    <t xml:space="preserve">RPS-049</t>
  </si>
  <si>
    <t xml:space="preserve">L'ensemble du personnel est-il informé de la procédure de prise en charge par l'entreprise, des travailleurs estimant subir un harcèlement moral ou sexuel ?</t>
  </si>
  <si>
    <t xml:space="preserve">RPS-050</t>
  </si>
  <si>
    <t xml:space="preserve">L'employeur veille-t-il que l'encadrement ait les compétences nécessaires pour gérer les cas de harcèlement moral ou sexuel dont il pourrait avoir connaissance ?</t>
  </si>
  <si>
    <t xml:space="preserve">RPS-051</t>
  </si>
  <si>
    <t xml:space="preserve">Les travailleurs estimant subir un harcèlement moral ou sexuel ont-ils la possibilité d'alerter l'employeur sans passer par la hiérarchie ?</t>
  </si>
  <si>
    <t xml:space="preserve">RPS-052</t>
  </si>
  <si>
    <t xml:space="preserve">L'employeur a-t-il clairement interdit tout acte de violence verbale ou physique dans le règlement intérieur de l'entreprise ?</t>
  </si>
  <si>
    <t xml:space="preserve">RPS-053</t>
  </si>
  <si>
    <t xml:space="preserve">Le personnel d'encadrement a-t-il été formé et a-t-il l'autorité nécessaire pour gérer les cas de violence (tensions, disputes, conflits, etc.) pouvant survenir entre les travailleurs ?</t>
  </si>
  <si>
    <t xml:space="preserve">RPS-054</t>
  </si>
  <si>
    <t xml:space="preserve">L'employeur s'est-il assuré que tous les travailleurs ont connaissance du règlement intérieur de l'entreprise ?</t>
  </si>
  <si>
    <t xml:space="preserve">RPS-055</t>
  </si>
  <si>
    <t xml:space="preserve">Des campagnes de sensibilisation sont-elles menées régulièrement pour rappeler la position de l'entreprise concernant les actes de violence verbale ou physique ?</t>
  </si>
  <si>
    <t xml:space="preserve">RPS-056</t>
  </si>
  <si>
    <t xml:space="preserve">Des campagnes de sensibilisation sont-elles menées régulièrement pour informer les travailleurs des risques et des conséquences encourues par la violence au travail ?</t>
  </si>
  <si>
    <t xml:space="preserve">RPS-057</t>
  </si>
  <si>
    <t xml:space="preserve">L'encadrement intervient-il systématiquement en cas de conflit verbal ou physique entre deux ou plusieurs travailleurs et rappelle-t-il les règles en vigueur dans l'entreprise ?</t>
  </si>
  <si>
    <t xml:space="preserve">RPS-058</t>
  </si>
  <si>
    <t xml:space="preserve">L'encadrement intervient-il systématiquement en cas d'injure, moquerie, humiliation, etc. et rappelle-t-il les règles en vigueur dans l'entreprise ?</t>
  </si>
  <si>
    <t xml:space="preserve">RPS-059</t>
  </si>
  <si>
    <t xml:space="preserve">L'employeur connaît-il les conséquences du stress sur la santé et la sécurité des travailleurs ?</t>
  </si>
  <si>
    <t xml:space="preserve">RPS-060</t>
  </si>
  <si>
    <t xml:space="preserve">L'entreprise a-t-elle consulté le service de santé au travail (médecin de travail, psychologue du travail, etc.) afin d'obtenir des informations sur le stress et ses conséquences sur la santé des travailleurs ?</t>
  </si>
  <si>
    <t xml:space="preserve">RPS-061</t>
  </si>
  <si>
    <t xml:space="preserve">L'encadrement a-t-il reçu une formation sur le stress et ses conséquences sur la santé et la sécurité des travailleurs ?</t>
  </si>
  <si>
    <t xml:space="preserve">RPS-062</t>
  </si>
  <si>
    <t xml:space="preserve">Les travailleurs ont-ils reçu une formation sur le stress et ses conséquences sur la santé et la sécurité ?</t>
  </si>
  <si>
    <t xml:space="preserve">RPS-063</t>
  </si>
  <si>
    <t xml:space="preserve">Certains postes de travail échappent-ils à tout contrôle de l'entreprise (bureau individuel, travail isolé, service extérieur) ?</t>
  </si>
  <si>
    <t xml:space="preserve">RPS-064</t>
  </si>
  <si>
    <t xml:space="preserve">Certains travailleurs se plaignent-ils de nuisances sonores (bruit continu ou trop fort, etc.) à leur poste et/ou à proximité de leur poste de travail ?</t>
  </si>
  <si>
    <t xml:space="preserve">RPS-065</t>
  </si>
  <si>
    <t xml:space="preserve">Les travailleurs qui présentent un taux d'absentéisme supérieur à la moyenne générale sont-ils surveillés par le médecin du travail ?</t>
  </si>
  <si>
    <t xml:space="preserve">RPS-066</t>
  </si>
  <si>
    <t xml:space="preserve">Une analyse des causes d'absentéisme a-t-elle été réalisée au sein de l'entreprise ?</t>
  </si>
  <si>
    <t xml:space="preserve">RPS-067</t>
  </si>
  <si>
    <t xml:space="preserve">Certains travailleurs ont-ils des activités très monotones et/ou répétitives et des solutions de polyvalence sont-elles à l'étude ?</t>
  </si>
  <si>
    <t xml:space="preserve">RPS-068</t>
  </si>
  <si>
    <t xml:space="preserve">Certains travailleurs occupent-ils des postes de travail pour lesquels une erreur aurait des conséquences graves pour la qualité du produit ou du service et/ou des coûts financiers importants pour l'entreprise ?</t>
  </si>
  <si>
    <t xml:space="preserve">RPS-069</t>
  </si>
  <si>
    <t xml:space="preserve">Certains travailleurs occupent-ils des postes de travail pour lesquels une erreur aurait des conséquences graves pour leur sécurité ou celle d'autres personnes ?</t>
  </si>
  <si>
    <t xml:space="preserve">RPS-070</t>
  </si>
  <si>
    <t xml:space="preserve">Existe-t-il une procédure pour gérer le changement de poste, intègre-t-elle du temps aux travailleurs concernés pour intégrer toutes les informations concernant leur nouveau poste de travail ?</t>
  </si>
  <si>
    <t xml:space="preserve">RPS-071</t>
  </si>
  <si>
    <t xml:space="preserve">En cas de changement de poste, l'encadrement contrôle-t-il si les connaissances acquises par les travailleurs concernés sont bien mises en pratique ?</t>
  </si>
  <si>
    <t xml:space="preserve">RPS-072</t>
  </si>
  <si>
    <t xml:space="preserve">Les travailleurs sont-ils consultés en cas de changement dans l'organisation de leur travail ?</t>
  </si>
  <si>
    <t xml:space="preserve">RPS-073</t>
  </si>
  <si>
    <t xml:space="preserve">Certains travailleurs sont-ils affectés à des postes sans avoir été formés au préalable ?</t>
  </si>
  <si>
    <t xml:space="preserve">RPS-074</t>
  </si>
  <si>
    <t xml:space="preserve">Existe-t-il des travailleurs amenés à recevoir des ordres ou directives de plusieurs personnes ?</t>
  </si>
  <si>
    <t xml:space="preserve">RPS-075</t>
  </si>
  <si>
    <t xml:space="preserve">Certains travailleurs doivent-ils fréquemment abandonner une tâche qu'ils sont en train de faire pour en effectuer une autre non prévue ?</t>
  </si>
  <si>
    <t xml:space="preserve">RPS-076</t>
  </si>
  <si>
    <t xml:space="preserve">Certains postes demandent-ils une attention, un effort et/ou une concentration soutenus (lecture de petits caractères, travaux minutieux, contrôles divers, etc.) ?</t>
  </si>
  <si>
    <t xml:space="preserve">RPS-077</t>
  </si>
  <si>
    <t xml:space="preserve">L'encadrement contrôle-t-il que la formation aux postes de travail et à la sécurité est adaptée aux facultés de compréhension, aux capacités linguistiques (travailleurs illettrés ou étrangers notamment) et/ou à la capacité de mémorisation des travailleurs ?</t>
  </si>
  <si>
    <t xml:space="preserve">RPS-078</t>
  </si>
  <si>
    <t xml:space="preserve">Les salariés sont-ils soumis à des contraintes de temps ?</t>
  </si>
  <si>
    <t xml:space="preserve">RPS-079</t>
  </si>
  <si>
    <t xml:space="preserve">Les objectifs des salariés sont-ils clairement définis ?</t>
  </si>
  <si>
    <t xml:space="preserve">RPS-080</t>
  </si>
  <si>
    <t xml:space="preserve">Les objectifs fixés sont-ils compatibles avec les moyens et responsabilités alloués aux salariés pour les atteindre ?</t>
  </si>
  <si>
    <t xml:space="preserve">RPS-081</t>
  </si>
  <si>
    <t xml:space="preserve">Les salariés reçoivent des instructions, des ordres ou des demandes qui peuvent être contradictoires entre eux ?</t>
  </si>
  <si>
    <t xml:space="preserve">RPS-082</t>
  </si>
  <si>
    <t xml:space="preserve">Les salariés sont-ils amenés à changer de tâches, de postes, ou de fonctions à l'improviste pour répondre aux contraintes du moment ?</t>
  </si>
  <si>
    <t xml:space="preserve">RPS-083</t>
  </si>
  <si>
    <t xml:space="preserve">Les salariés sont-ils fréquemment interrompus au cours de leur travail par des tâches non prévues ?</t>
  </si>
  <si>
    <t xml:space="preserve">RPS-084</t>
  </si>
  <si>
    <t xml:space="preserve">Les salariés exercent-ils des activités qui nécessitent une attention soutenue ou une vigilance permanente ?</t>
  </si>
  <si>
    <t xml:space="preserve">RPS-085</t>
  </si>
  <si>
    <t xml:space="preserve">Arrive-t-il que les salariés travaillent plus de 45 heures par semaine ?</t>
  </si>
  <si>
    <t xml:space="preserve">RPS-086</t>
  </si>
  <si>
    <t xml:space="preserve">Les salariés sont-ils soumis à des horaires de nuit, alternants ou décalés ?</t>
  </si>
  <si>
    <t xml:space="preserve">RPS-087</t>
  </si>
  <si>
    <t xml:space="preserve">Les salariés sont-ils contactés en dehors des horaires de travail pour des raisons professionnelles ?</t>
  </si>
  <si>
    <t xml:space="preserve">RPS-088</t>
  </si>
  <si>
    <t xml:space="preserve">Les salariés connaissent-ils suffisamment à l'avance leurs horaires de travail ou les changements éventuels de leur planning ?</t>
  </si>
  <si>
    <t xml:space="preserve">RPS-089</t>
  </si>
  <si>
    <t xml:space="preserve">L'entreprise permet-elle aux salariés de concilier vie professionnelle et vie personnelle ?</t>
  </si>
  <si>
    <t xml:space="preserve">RPS-090</t>
  </si>
  <si>
    <t xml:space="preserve">Les salariés sont-ils confrontés à des situations de tension (avec des clients, patients,...) dont ils se plaignent ?</t>
  </si>
  <si>
    <t xml:space="preserve">RPS-091</t>
  </si>
  <si>
    <t xml:space="preserve">Dans le cadre de leur activité professionnelle, les salariés sont-ils amenés à devoir traiter la situation de personne en souffrance ?</t>
  </si>
  <si>
    <t xml:space="preserve">RPS-092</t>
  </si>
  <si>
    <t xml:space="preserve">Dans leur travail, les salariés se doivent-ils de ''faire bonne figure'' en toutes circonstances ?</t>
  </si>
  <si>
    <t xml:space="preserve">RPS-093</t>
  </si>
  <si>
    <t xml:space="preserve">Les salariés ont-ils des marges manœuvre dans la manière de réaliser leur travail dès lors que leurs objectifs sont atteints ?</t>
  </si>
  <si>
    <t xml:space="preserve">RPS-094</t>
  </si>
  <si>
    <t xml:space="preserve">Les salariés peuvent-ils interrompre momentanément leur travail quand ils en ressentent le besoin ?</t>
  </si>
  <si>
    <t xml:space="preserve">RPS-095</t>
  </si>
  <si>
    <t xml:space="preserve">Les salariés peuvent-ils utiliser leurs compétences professionnelles et en développer de nouvelles ?</t>
  </si>
  <si>
    <t xml:space="preserve">RPS-096</t>
  </si>
  <si>
    <t xml:space="preserve">Les relations entre les collègues sont-elles bonnes (confiance, entraide, convivialité au sein de l'équipe) ?</t>
  </si>
  <si>
    <t xml:space="preserve">RPS-097</t>
  </si>
  <si>
    <t xml:space="preserve">Les salariés reçoivent-ils un soutien de la part de l'encadrement ?</t>
  </si>
  <si>
    <t xml:space="preserve">RPS-098</t>
  </si>
  <si>
    <t xml:space="preserve">Règne-t-il un climat de courtoisie et de respect mutuel entre les salariés de l'entreprise ?</t>
  </si>
  <si>
    <t xml:space="preserve">RPS-099</t>
  </si>
  <si>
    <t xml:space="preserve">Les salariés reçoivent-ils des marques de reconnaissance de leur travail de la part de l'entreprise ?</t>
  </si>
  <si>
    <t xml:space="preserve">RPS-100</t>
  </si>
  <si>
    <t xml:space="preserve">Les salariés considèrent-ils qu'ils font un travail de qualité ?</t>
  </si>
  <si>
    <t xml:space="preserve">RPS-101</t>
  </si>
  <si>
    <t xml:space="preserve">Les salariés estiment-ils en général que leur travail est reconnu comme utile ?</t>
  </si>
  <si>
    <t xml:space="preserve">RPS-102</t>
  </si>
  <si>
    <t xml:space="preserve">Les salariés sont-ils confrontés à des incertitudes quant au maintien de leur activité dans les prochains mois ?</t>
  </si>
  <si>
    <t xml:space="preserve">RPS-103</t>
  </si>
  <si>
    <t xml:space="preserve">Les changements sont-ils suffisamment anticipés, accompagnés, et clairement expliqués aux salariés ?</t>
  </si>
  <si>
    <t xml:space="preserve">RISQUES DES MANUTENTIONS MANUELLES ET MÉCANIQUES</t>
  </si>
  <si>
    <t xml:space="preserve">Note RISC-4 (DUE 2024) : 16,86/20 — Établissement : Azur Park (Gassin) — Référentiel : audit sécurité des personnes</t>
  </si>
  <si>
    <t xml:space="preserve">MAN-001</t>
  </si>
  <si>
    <t xml:space="preserve">Des travailleurs sont-ils amenés à effectuer des manutentions manuelles de charges (chargement et déchargement de marchandises, transport de colis, etc.) ?</t>
  </si>
  <si>
    <t xml:space="preserve">MAN-002</t>
  </si>
  <si>
    <t xml:space="preserve">Existe-t-il des tâches, liées aux manutentions manuelles de charges, imposant des gestes répétitifs avec contraintes posturales et/ou imposant le maintien prolongé d'une posture ?</t>
  </si>
  <si>
    <t xml:space="preserve">MAN-003</t>
  </si>
  <si>
    <t xml:space="preserve">Existe-t-il des tâches imposant des manutentions difficiles, répétitives et/ou à cadence élevée ?</t>
  </si>
  <si>
    <t xml:space="preserve">MAN-004</t>
  </si>
  <si>
    <t xml:space="preserve">Existe-t-il des manutentions pour les opérations de transport ou de soutien de la charge dont le levage, la pose, la poussée, la traction, le port ou le déplacement exige l'effort physique d'une ou plusieurs personnes ?</t>
  </si>
  <si>
    <t xml:space="preserve">MAN-005</t>
  </si>
  <si>
    <t xml:space="preserve">Certains travailleurs sont-ils amenés à porter longtemps de petites charges (par exemple les commerciaux qui transportent des échantillons ou des documentations, le personnel qui effectue des démonstrations de matériel, etc.) ?</t>
  </si>
  <si>
    <t xml:space="preserve">MAN-006</t>
  </si>
  <si>
    <t xml:space="preserve">Certains travailleurs sont-ils amenés à manutentionner (stocker et/ou transporter) des matières, agents chimiques dangereux et/ou des déchets contenant de tels agents ?</t>
  </si>
  <si>
    <t xml:space="preserve">MAN-007</t>
  </si>
  <si>
    <t xml:space="preserve">Tous les postes de manutention manuelle de charges dans l'entreprise sont-ils recensés ?</t>
  </si>
  <si>
    <t xml:space="preserve">MAN-008</t>
  </si>
  <si>
    <t xml:space="preserve">L'entreprise utilise-t-elle des aides à la manutention pour déplacer les charges lourdes et/ou encombrantes (aides au soulèvement des charges, équilibreurs de charges, vérins, palans, tables élévatrices, chariots, transpalettes, convoyeurs, rouleaux, rolls, trolleys, ponts de liaison, etc.) ?</t>
  </si>
  <si>
    <t xml:space="preserve">MAN-009</t>
  </si>
  <si>
    <t xml:space="preserve">L'entreprise a-t-elle fait une analyse détaillée des postes concernés par les manutentions manuelles (pénibilité, répétitivité des gestes, caractéristiques des charges manipulées, effort physique, fréquence des efforts, environnement de travail, organisation du travail, etc.) ?</t>
  </si>
  <si>
    <t xml:space="preserve">MAN-010</t>
  </si>
  <si>
    <t xml:space="preserve">L'entreprise a-t-elle prévu un projet d'amélioration visant à supprimer et à réduire les manutention manuelles (aide à la manutention, organisation des postes, etc.) et/ou des aménagements (dispositifs de mise à hauteur, tables élévatrices, etc.) ?</t>
  </si>
  <si>
    <t xml:space="preserve">MAN-011</t>
  </si>
  <si>
    <t xml:space="preserve">Un responsable a-t-il été désigné et formé pour mener à bien le projet d'amélioration des postes de travail concernés par les manutentions manuelles de charges ?</t>
  </si>
  <si>
    <t xml:space="preserve">MAN-012</t>
  </si>
  <si>
    <t xml:space="preserve">L'employeur connaît-il les risques des manutentions manuelles de charges sur la santé et la sécurité des travailleurs ?</t>
  </si>
  <si>
    <t xml:space="preserve">MAN-013</t>
  </si>
  <si>
    <t xml:space="preserve">L'encadrement connaît-il les méfaits des manutentions manuelles de charges sur la santé des travailleurs ?</t>
  </si>
  <si>
    <t xml:space="preserve">MAN-014</t>
  </si>
  <si>
    <t xml:space="preserve">L'employeur s'est-il rapproché de son service de santé au travail et/ou médecin du travail pour connaître les risques de manutentions manuelles de charges et ses méfaits sur la santé et la sécurité des travailleurs ?</t>
  </si>
  <si>
    <t xml:space="preserve">MAN-015</t>
  </si>
  <si>
    <t xml:space="preserve">L'employeur a-t-il fourni au médecin du travail la liste des travailleurs concernés par la manutention manuelle de charges ?</t>
  </si>
  <si>
    <t xml:space="preserve">MAN-016</t>
  </si>
  <si>
    <t xml:space="preserve">L'entreprise tient-elle compte de l'âge, du sexe et de la constitution des travailleurs avant de leur confier des manutentions manuelles ?</t>
  </si>
  <si>
    <t xml:space="preserve">MAN-017</t>
  </si>
  <si>
    <t xml:space="preserve">Des travailleurs femmes ou hommes de 15 à 18 ans sont-ils amenés à porter des charges de manière occasionnelle (moins d'une fois par période de 5 minutes) ?</t>
  </si>
  <si>
    <t xml:space="preserve">MAN-018</t>
  </si>
  <si>
    <t xml:space="preserve">Des travailleurs femmes ou hommes de 15 à 18 ans sont-ils amenés à porter des charges de manière répétitive (activité régulière, répétée plus d'une fois par période de 5 minutes et pendant plusieurs heures) ?</t>
  </si>
  <si>
    <t xml:space="preserve">MAN-019</t>
  </si>
  <si>
    <t xml:space="preserve">Des travailleurs femmes ou hommes de 19 à 45 ans sont-ils amenés à porter des charges de manière occasionnelle (moins d'une fois par période de 5 minutes) ?</t>
  </si>
  <si>
    <t xml:space="preserve">MAN-020</t>
  </si>
  <si>
    <t xml:space="preserve">Des travailleurs femmes ou hommes de 19 à 45 ans sont-ils amenés à porter des charges de manière répétitive (activité régulière, répétée plus d'une fois par période de 5 minutes et pendant plusieurs heures) ?</t>
  </si>
  <si>
    <t xml:space="preserve">MAN-021</t>
  </si>
  <si>
    <t xml:space="preserve">Des travailleurs femmes ou homme de plus de 45 ans sont-ils amenés à porter des charges de manière occasionnelle (moins d'une fois par période de 5 minutes) ?</t>
  </si>
  <si>
    <t xml:space="preserve">MAN-022</t>
  </si>
  <si>
    <t xml:space="preserve">Des travailleurs femmes ou hommes de plus de 45 ans sont-ils amenés à porter des charges de manière répétitive (activité régulière, répétée plus d'une fois par période de 5 minutes et pendant plusieurs heures) ?</t>
  </si>
  <si>
    <t xml:space="preserve">MAN-023</t>
  </si>
  <si>
    <t xml:space="preserve">Certains travailleurs sont-ils amenés à porter, de manière occasionnelle ou fréquente, des petites charges (moins de 10 kg) dans le cadre de leur travail (cartons, produits, etc.) ?</t>
  </si>
  <si>
    <t xml:space="preserve">MAN-024</t>
  </si>
  <si>
    <t xml:space="preserve">Certains travailleurs sont-ils amenés à porter des charges supérieures à 55 kg ?</t>
  </si>
  <si>
    <t xml:space="preserve">MAN-025</t>
  </si>
  <si>
    <t xml:space="preserve">Certains travailleurs sont-ils soumis aux intempéries (froid, vent, pluie, canicule) au cours de leurs manutentions manuelles de charges ?</t>
  </si>
  <si>
    <t xml:space="preserve">MAN-026</t>
  </si>
  <si>
    <t xml:space="preserve">L'entreprise veille-t-elle que les emballages des marchandises puissent être saisis et portés facilement par les travailleurs (poignées par exemple) ?</t>
  </si>
  <si>
    <t xml:space="preserve">MAN-027</t>
  </si>
  <si>
    <t xml:space="preserve">L'entreprise s'est-elle rapprochée de ses fournisseurs pour obtenir des conditionnements moins encombrants et/ou moins lourds (sacs de 25 kg au lieu de 50 kg par exemple) ?</t>
  </si>
  <si>
    <t xml:space="preserve">MAN-028</t>
  </si>
  <si>
    <t xml:space="preserve">Les nouveaux travailleurs, ceux qui changent de poste et les intérimaires reçoivent-ils, dès leur arrivée, une formation spécifique sur la manutention manuelle de charges ?</t>
  </si>
  <si>
    <t xml:space="preserve">MAN-029</t>
  </si>
  <si>
    <t xml:space="preserve">L'employeur et l'encadrement veillent-ils à ce que les travailleurs concernés par le port manuel de charges reçoivent des informations précises sur le poids des charges qu'ils ont à manutentionner ?</t>
  </si>
  <si>
    <t xml:space="preserve">MAN-030</t>
  </si>
  <si>
    <t xml:space="preserve">Les travailleurs concernés par la manutention de charges ont-ils suivi une formation pour apprendre à soulever et à porter correctement sans endommager leur dos (gestes et posture, etc.) ?</t>
  </si>
  <si>
    <t xml:space="preserve">MAN-031</t>
  </si>
  <si>
    <t xml:space="preserve">Les travailleurs concernés par la manutention de charges connaissent-ils les conséquences éventuelles d'un levage incorrect (mauvaise technique, charges trop lourdes) ?</t>
  </si>
  <si>
    <t xml:space="preserve">MAN-032</t>
  </si>
  <si>
    <t xml:space="preserve">Les postes de travail sont-ils aménagés de manière à éviter les manutentions manuelles de charges et les allées et venues inutiles ?</t>
  </si>
  <si>
    <t xml:space="preserve">MAN-033</t>
  </si>
  <si>
    <t xml:space="preserve">L'entreprise met-elle à disposition des travailleurs des dessertes mobiles (servants, chariot, etc.) pour déplacer les produits et/ou les outils sans les porter ?</t>
  </si>
  <si>
    <t xml:space="preserve">MAN-034</t>
  </si>
  <si>
    <t xml:space="preserve">Les pièces lourdes (marchandises, caisses, etc.) sont-elles placées en bas des rayonnages ?</t>
  </si>
  <si>
    <t xml:space="preserve">MAN-035</t>
  </si>
  <si>
    <t xml:space="preserve">Les travailleurs concernés par la manutention des charges portent-ils tous les EPI nécessaires (gants de manutention, chaussures de sécurité, etc.) ?</t>
  </si>
  <si>
    <t xml:space="preserve">MAN-036</t>
  </si>
  <si>
    <t xml:space="preserve">L'encadrement vérifie-t-il que les travailleurs concernés par la manutention manuelle de charges portent bien les EPI nécessaires (gants de manutention, chaussures de sécurité, etc.) et que ces EPI sont adaptés au poste ?</t>
  </si>
  <si>
    <t xml:space="preserve">MAN-037</t>
  </si>
  <si>
    <t xml:space="preserve">Est-il affiché clairement (signalétique, panneaux, affichage) que le port des EPI (gants de manutention, chaussures de sécurité, etc.) est obligatoire dans le cadre des manutentions manuelles de charges ?</t>
  </si>
  <si>
    <t xml:space="preserve">MAN-038</t>
  </si>
  <si>
    <t xml:space="preserve">Les prescriptions d'utilisation et les consignes de sécurité concernant la manutention manuelle de charges (charge maximum, levage incorrect, etc.) sont-elles affichées à un emplacement bien visible des utilisateurs ?</t>
  </si>
  <si>
    <t xml:space="preserve">MAN-039</t>
  </si>
  <si>
    <t xml:space="preserve">L'entreprise possède-t-elle des zones comportant des objets stockés en hauteur ou empilés en hauteur et/ou sur une grande hauteur (étagères, rayonnages, racks de stockage, etc.) ?</t>
  </si>
  <si>
    <t xml:space="preserve">MAN-040</t>
  </si>
  <si>
    <t xml:space="preserve">L'entreprise possède-t-elle des zones avec des matériaux en vrac situés à hauteur d'homme ou en hauteur ?</t>
  </si>
  <si>
    <t xml:space="preserve">MAN-041</t>
  </si>
  <si>
    <t xml:space="preserve">Des produits inflammables (F ), toxiques (T), nocifs (Xn), corrosifs (C) ou irritants (Xi) sont-ils stockés en hauteur ?</t>
  </si>
  <si>
    <t xml:space="preserve">MAN-042</t>
  </si>
  <si>
    <t xml:space="preserve">Des produits d'entretien, des colles, acétone, alcool, peinture ou d'autres produits chimiques d'usage courant sont-ils stockés dans des placards (étagères, armoires, etc.) en hauteur ?</t>
  </si>
  <si>
    <t xml:space="preserve">MAN-043</t>
  </si>
  <si>
    <t xml:space="preserve">Les zones de stockage en hauteur sont-elles bien éclairées ?</t>
  </si>
  <si>
    <t xml:space="preserve">MAN-044</t>
  </si>
  <si>
    <t xml:space="preserve">Les postes de manutention comportant des manutentions d'objets stockés en hauteur sont-ils recensés ?</t>
  </si>
  <si>
    <t xml:space="preserve">MAN-045</t>
  </si>
  <si>
    <t xml:space="preserve">Le poids maximum autorisé (capacité de charge) est-il indiqué pour chaque unité de stockage (étagères, rayonnages, racks de stockage, etc.) ?</t>
  </si>
  <si>
    <t xml:space="preserve">MAN-046</t>
  </si>
  <si>
    <t xml:space="preserve">Les étagères (rayonnages, racks de stockage, etc.) sur lesquelles sont stockés des objets en hauteur sont-elles bien adaptées aux dimensions et au poids des objets stockés ?</t>
  </si>
  <si>
    <t xml:space="preserve">MAN-047</t>
  </si>
  <si>
    <t xml:space="preserve">Les étagères (rayonnages, racks de stockage, etc.) sur lesquelles sont stockés des objets en hauteur sont-elles stables et bien arrimées ? Tout risque de renversement et/ou d'effondrement est-il maîtrisé ?</t>
  </si>
  <si>
    <t xml:space="preserve">MAN-048</t>
  </si>
  <si>
    <t xml:space="preserve">Les éléments des installations de stockage sont-ils régulièrement vérifiés (corrosion, défauts, usure, etc.) ?</t>
  </si>
  <si>
    <t xml:space="preserve">MAN-049</t>
  </si>
  <si>
    <t xml:space="preserve">Les rebords à arêtes vives, les saillies, les appuis et les supports sont-ils rembourrés et signalés de manière visible ?</t>
  </si>
  <si>
    <t xml:space="preserve">MAN-050</t>
  </si>
  <si>
    <t xml:space="preserve">Les objets (marchandises, produits, matériels, cartons, etc.) sont-ils empilés correctement ? Tout risque de chute d'objets est-il maîtrisé ?</t>
  </si>
  <si>
    <t xml:space="preserve">MAN-051</t>
  </si>
  <si>
    <t xml:space="preserve">Les directives de stockage en hauteur (gerbage) sont-elles consignées et transmises à tous les travailleurs concernés ?</t>
  </si>
  <si>
    <t xml:space="preserve">MAN-052</t>
  </si>
  <si>
    <t xml:space="preserve">L'encadrement vérifie-t-il régulièrement que tout risque d'endommagement (ou d'écrasement) de la marchandise située en bas de la pile est exclu ?</t>
  </si>
  <si>
    <t xml:space="preserve">MAN-053</t>
  </si>
  <si>
    <t xml:space="preserve">L'entreprise connaît-elle les consignes d'empilage formulées par le fournisseur des objets qu'elle stocke ?</t>
  </si>
  <si>
    <t xml:space="preserve">MAN-054</t>
  </si>
  <si>
    <t xml:space="preserve">L'encadrement rappelle-t-il régulièrement aux travailleurs concernés les risques encourus en cas de mauvais stockage ou empilage des objets ?</t>
  </si>
  <si>
    <t xml:space="preserve">MAN-055</t>
  </si>
  <si>
    <t xml:space="preserve">La largeur des allées et des zones de stockage en hauteur sont-elles adaptées aux dimensions des moyens de manutention utilisés dans l'entreprise ?</t>
  </si>
  <si>
    <t xml:space="preserve">MAN-056</t>
  </si>
  <si>
    <t xml:space="preserve">Les installations de stockage (les montants ou les pieds des étagères notamment) sont-elles protégées contre les collisions pouvant se produire lors du passage ou de l'entrée des engins de manutention dans les allées ?</t>
  </si>
  <si>
    <t xml:space="preserve">MAN-057</t>
  </si>
  <si>
    <t xml:space="preserve">Des protections (rampes, rambarde, stop rayonnage, etc.) sont-elles systématiquement mises en place en cas de risque de chutes éventuelles d'objets et/ou d'effondrement de matériaux ?</t>
  </si>
  <si>
    <t xml:space="preserve">MAN-058</t>
  </si>
  <si>
    <t xml:space="preserve">Les objets les plus lourds sont-ils bien stockés en bas des étagères et/ou des rayonnages ?</t>
  </si>
  <si>
    <t xml:space="preserve">MAN-059</t>
  </si>
  <si>
    <t xml:space="preserve">Les travailleurs amenés à travailler sur les zones de stockage d'objet en hauteur portent-ils tous un casque de protection et des chaussures de sécurité ?</t>
  </si>
  <si>
    <t xml:space="preserve">MAN-060</t>
  </si>
  <si>
    <t xml:space="preserve">L'obligation de porter un casque de protection et des chaussures de sécurité dans les zones de manutention en hauteur est-elle clairement affichée ?</t>
  </si>
  <si>
    <t xml:space="preserve">MAN-061</t>
  </si>
  <si>
    <t xml:space="preserve">L'entretien des supports et contenants de transport (palettes, cadres, sacs, etc.) est-il assuré ? Les matériels défectueux sont-ils immédiatement remplacés ?</t>
  </si>
  <si>
    <t xml:space="preserve">MAN-062</t>
  </si>
  <si>
    <t xml:space="preserve">Des travailleurs non autorisés traversent-ils ou stationnent-ils sur les zones de stockage en hauteur ?</t>
  </si>
  <si>
    <t xml:space="preserve">MAN-063</t>
  </si>
  <si>
    <t xml:space="preserve">L'entreprise stocke-t-elle des objets (marchandises, dossiers, etc.) sur les dessus des armoires et/ou des étagères ou des placards en hauteur ?</t>
  </si>
  <si>
    <t xml:space="preserve">MAN-064</t>
  </si>
  <si>
    <t xml:space="preserve">Les armoires, placards, et/ou étagères de l'entreprise sont-ils bien arrimés au sol ou au mur ?</t>
  </si>
  <si>
    <t xml:space="preserve">MAN-065</t>
  </si>
  <si>
    <t xml:space="preserve">Certains travailleurs utilisent-ils des moyens de fortune (caisse, chaise, etc.) pour accéder à des objets (marchandises, dossiers, etc.) se trouvant en hauteur ?</t>
  </si>
  <si>
    <t xml:space="preserve">MAN-066</t>
  </si>
  <si>
    <t xml:space="preserve">L'entreprise utilise-t-elle des outils ou appareils de levage et/ou des matériels d'aide à la manutention (crics, vérins, leviers simples, palans, poulies, élingues, diable, chariot, roll, trolley, brouette, etc.) ?</t>
  </si>
  <si>
    <t xml:space="preserve">MAN-067</t>
  </si>
  <si>
    <t xml:space="preserve">La charge utile est-elle indiquée de façon lisible sur tous les engins de levage et tous les moyens auxiliaires ?</t>
  </si>
  <si>
    <t xml:space="preserve">MAN-068</t>
  </si>
  <si>
    <t xml:space="preserve">Les outils ou appareils de levage et/ou les matériels d'aide à la manutention possèdent-ils une attestation de conformité et/ou sont-ils en conformité avec la réglementation ?</t>
  </si>
  <si>
    <t xml:space="preserve">MAN-069</t>
  </si>
  <si>
    <t xml:space="preserve">Les outils ou appareils de levage et/ou les matériels d'aide à la manutention et tous leurs accessoires sont-ils vérifiés et révisés régulièrement ?</t>
  </si>
  <si>
    <t xml:space="preserve">MAN-070</t>
  </si>
  <si>
    <t xml:space="preserve">Les outils ou appareils de levage et/ou les matériels d'aide à la manutention et tous leurs accessoires possèdent-ils un carnet d'entretien ?</t>
  </si>
  <si>
    <t xml:space="preserve">MAN-071</t>
  </si>
  <si>
    <t xml:space="preserve">Les carnets d'entretien des outils ou appareils de levage et/ou des matériels d'aide à la manutention et tous leurs accessoires sont-ils tenus à jour ?</t>
  </si>
  <si>
    <t xml:space="preserve">MAN-072</t>
  </si>
  <si>
    <t xml:space="preserve">L'entretien, les vérification, les réparations, etc. sont-ils systématiquement consignés dans le carnet d'entretien ?</t>
  </si>
  <si>
    <t xml:space="preserve">MAN-073</t>
  </si>
  <si>
    <t xml:space="preserve">Les outils ou appareils de levage et/ou les matériels d'aide à la manutention sont-ils adaptés à la tâche et/ou aux conditions prévues ?</t>
  </si>
  <si>
    <t xml:space="preserve">MAN-074</t>
  </si>
  <si>
    <t xml:space="preserve">Les accessoires de manutention chaînes, palonnier, etc.) sont-ils adaptés aux charges à manutentionner ?</t>
  </si>
  <si>
    <t xml:space="preserve">MAN-075</t>
  </si>
  <si>
    <t xml:space="preserve">L'entreprise utilise-t-elle des plateformes élévatrices (monte-charge, etc.) pour le chargement et le déchargement d'objets (marchandises, colis, etc.) ?</t>
  </si>
  <si>
    <t xml:space="preserve">MAN-076</t>
  </si>
  <si>
    <t xml:space="preserve">Les commandes des plateformes élévatrices peuvent-elles être actionnées sans danger et sont-elles placées de façon à pouvoir observer tous les mouvements commandés ? Les organes de commande sont-ils en bon état ?</t>
  </si>
  <si>
    <t xml:space="preserve">MAN-077</t>
  </si>
  <si>
    <t xml:space="preserve">Le personnel utilisant les plateformes élévatrices est-il formé ?</t>
  </si>
  <si>
    <t xml:space="preserve">MAN-078</t>
  </si>
  <si>
    <t xml:space="preserve">Les prescription d'utilisation et les consignes de sécurité sont-elles affichées à un emplacement bien visible des utilisateurs ?</t>
  </si>
  <si>
    <t xml:space="preserve">MAN-079</t>
  </si>
  <si>
    <t xml:space="preserve">L'entretien des plateformes élévatrices est-il effectué périodiquement selon les instructions du constructeur et le carnet d'entretien est-il tenu à jour ?</t>
  </si>
  <si>
    <t xml:space="preserve">MAN-080</t>
  </si>
  <si>
    <t xml:space="preserve">Les plateformes élévatrices sont-elles munies d'un interrupteur de sécurité cadenassable en position déclenchée ?</t>
  </si>
  <si>
    <t xml:space="preserve">MAN-081</t>
  </si>
  <si>
    <t xml:space="preserve">L'entreprise utilise-t-elle des engins motorisés de levage et/ou de manutention (chariots automoteurs de manutention à conducteur porté, chariot élévateur, transpalette, etc.) ?</t>
  </si>
  <si>
    <t xml:space="preserve">MAN-082</t>
  </si>
  <si>
    <t xml:space="preserve">Les caristes possèdent-ils tous une autorisation de conduite ?</t>
  </si>
  <si>
    <t xml:space="preserve">MAN-083</t>
  </si>
  <si>
    <t xml:space="preserve">La liste des travailleurs possédant une autorisation de conduite est-elle établie et mise à jour ?</t>
  </si>
  <si>
    <t xml:space="preserve">MAN-084</t>
  </si>
  <si>
    <t xml:space="preserve">Les caristes conduisent-ils uniquement les chariots pour lesquels ils possèdent une autorisation de conduite ?</t>
  </si>
  <si>
    <t xml:space="preserve">MAN-085</t>
  </si>
  <si>
    <t xml:space="preserve">Les caristes sont-ils formés et/ou leurs connaissances sont-elles régulièrement actualisées ?</t>
  </si>
  <si>
    <t xml:space="preserve">MAN-086</t>
  </si>
  <si>
    <t xml:space="preserve">Certains caristes sont-ils titulaires du CACES (Certification d'Aptitude à la Conduite En Sécurité) ?</t>
  </si>
  <si>
    <t xml:space="preserve">MAN-087</t>
  </si>
  <si>
    <t xml:space="preserve">Les chariots sont-ils toujours munis des éléments de sécurité fournis par le constructeur (par exemple toit de protection, système de retenue, ceinture de sécurité, étrier latéral ou cabine, diagramme des charges bien lisible, butées latérales de retenue des fourches, etc.) ?</t>
  </si>
  <si>
    <t xml:space="preserve">MAN-088</t>
  </si>
  <si>
    <t xml:space="preserve">Les travailleurs qui travaillent sur les matériels de manutention portent-ils obligatoirement leur équipement de protection individuelle (casque avec jugulaire, gants, chaussures de sécurité, harnais, longe et protections nécessaires aux opérations de maintenance de premier niveau, etc.) ?</t>
  </si>
  <si>
    <t xml:space="preserve">MAN-089</t>
  </si>
  <si>
    <t xml:space="preserve">Les chariots sont-ils régulièrement contrôlés, entretenus et réparés conformément aux prescriptions du fabricant ?</t>
  </si>
  <si>
    <t xml:space="preserve">MAN-090</t>
  </si>
  <si>
    <t xml:space="preserve">Tous les engins motorisés de levage et/ou de manutention possèdent-ils un carnet d'entretien ?</t>
  </si>
  <si>
    <t xml:space="preserve">MAN-091</t>
  </si>
  <si>
    <t xml:space="preserve">La maintenance des chariots est-elle effectuée par un spécialiste et inscrite sur les carnets d'entretien des chariots ?</t>
  </si>
  <si>
    <t xml:space="preserve">MAN-092</t>
  </si>
  <si>
    <t xml:space="preserve">Pour éviter les blessures aux pieds, les caristes portent-ils toujours des chaussures de sécurité ?</t>
  </si>
  <si>
    <t xml:space="preserve">MAN-093</t>
  </si>
  <si>
    <t xml:space="preserve">Le comportement des caristes est-il régulièrement contrôlé par l'encadrement et/ou les comportements contraires aux règles de sécurité (surcharger le chariot, transporter des charges mal empilées, soulever des personnes sur les fourches, etc.) sont-ils corrigés ?</t>
  </si>
  <si>
    <t xml:space="preserve">MAN-094</t>
  </si>
  <si>
    <t xml:space="preserve">Certains caristes circulent-ils avec une charge instable, mal arrimée et/ou mal équilibrée ?</t>
  </si>
  <si>
    <t xml:space="preserve">MAN-095</t>
  </si>
  <si>
    <t xml:space="preserve">L'entreprise utilise-t-elle des ponts roulants, portiques ou semi-portiques à commande au sol ?</t>
  </si>
  <si>
    <t xml:space="preserve">MAN-096</t>
  </si>
  <si>
    <t xml:space="preserve">Les travailleurs concernés par l'utilisation des ponts roulants, portiques ou semi-portiques à commande au sol sont-ils formés ?</t>
  </si>
  <si>
    <t xml:space="preserve">MAN-097</t>
  </si>
  <si>
    <t xml:space="preserve">Existe-t-il d'autres risques liés aux ponts roulants, portiques, semi-portiques ?</t>
  </si>
  <si>
    <t xml:space="preserve">MAN-098</t>
  </si>
  <si>
    <t xml:space="preserve">L'entreprise utilise-t-elle des matériels de levage (hayons élévateurs, accessoires de levage, grue, chariots élévateurs, etc.) et leurs accessoires (sangles, chaînes, câbles, élingues, etc.) pour le chargement et le déchargement de véhicules ?</t>
  </si>
  <si>
    <t xml:space="preserve">MAN-099</t>
  </si>
  <si>
    <t xml:space="preserve">Les matériels de levage (hayons élévateurs, accessoires de levage, grue, chariots élévateurs, etc.) et leurs accessoires (sangles, chaînes, câbles, élingues, etc.) utilisés pour le chargement et le déchargement de véhicules sont-ils en bon état d'entretien ?</t>
  </si>
  <si>
    <t xml:space="preserve">MAN-100</t>
  </si>
  <si>
    <t xml:space="preserve">Le personnel concerné a-t-il été formé à charger / décharger et arrimer les charges sur les véhicules en toute sécurité ?</t>
  </si>
  <si>
    <t xml:space="preserve">MAN-101</t>
  </si>
  <si>
    <t xml:space="preserve">Existe-t-il un protocole destiné aux travailleurs concernant le chargement et déchargement en sécurité des véhicules ?</t>
  </si>
  <si>
    <t xml:space="preserve">MAN-102</t>
  </si>
  <si>
    <t xml:space="preserve">Un plan de circulation dans l'entreprise favorisant la séparation des flux (piétons, routiers, marchandises) a-t-il été établi ?</t>
  </si>
  <si>
    <t xml:space="preserve">MAN-103</t>
  </si>
  <si>
    <t xml:space="preserve">Les nouveaux travailleurs et les intérimaires sont-ils immédiatement formés à l'utilisation des outils ou appareils de levage (crics, vérins, leviers, palans, poulies, élingues, etc.) ?</t>
  </si>
  <si>
    <t xml:space="preserve">MAN-104</t>
  </si>
  <si>
    <t xml:space="preserve">L'entreprise veille-t-elle quel es travailleurs illettrés, ou ne parlant pas le français, reçoivent une formation spécifique sur les règles de sécurité et d'utilisation des outils ou appareils de levage et/ou des matériels d'aide à la manutention (panneaux de sécurité, affichage, consignes de sécurité, etc.) ?</t>
  </si>
  <si>
    <t xml:space="preserve">MAN-105</t>
  </si>
  <si>
    <t xml:space="preserve">Un protocole de sécurité pour les opérations de manutention mécanique est-il établi (directives de porte de charges, consignes de sécurité, port des EPI) ?</t>
  </si>
  <si>
    <t xml:space="preserve">MAN-106</t>
  </si>
  <si>
    <t xml:space="preserve">Le protocole de sécurité pour les opérations de manutention mécanique est-il connu et appliqué par l'ensemble des travailleurs concernés ?</t>
  </si>
  <si>
    <t xml:space="preserve">MAN-107</t>
  </si>
  <si>
    <t xml:space="preserve">Des panneaux rappelant l'obligation du port des EPI sont-ils apposés dans l'entreprise ?</t>
  </si>
  <si>
    <t xml:space="preserve">MAN-108</t>
  </si>
  <si>
    <t xml:space="preserve">Tous les travailleurs concernés par les manutentions mécaniques de charges portent-ils leurs EPI ?</t>
  </si>
  <si>
    <t xml:space="preserve">MAN-109</t>
  </si>
  <si>
    <t xml:space="preserve">L'encadrement vérifie-t-il régulièrement que les travailleurs concernés par les manutentions de charges mécaniques respectent bien les consignes de sécurité (directives, signalétique, port des EPI) ?</t>
  </si>
  <si>
    <t xml:space="preserve">MAN-110</t>
  </si>
  <si>
    <t xml:space="preserve">Un responsable qualifié a-t-il été nommé pour assurer l'ensemble des matériels de manutention et de leurs accessoires ?</t>
  </si>
  <si>
    <t xml:space="preserve">MAN-111</t>
  </si>
  <si>
    <t xml:space="preserve">L'entreprise fait-elle appel à des entreprises extérieures pour des manutentions manuelles, mécaniques, et/ou le chargement et le déchargement de véhicules ?</t>
  </si>
  <si>
    <t xml:space="preserve">MAN-112</t>
  </si>
  <si>
    <t xml:space="preserve">Un protocole des manutentions et/ou de chargement et déchargement de charges a-t-il été établi avec chaque entreprise extérieure ?</t>
  </si>
  <si>
    <t xml:space="preserve">RISQUES PHYSIQUES</t>
  </si>
  <si>
    <t xml:space="preserve">Note RISC-4 (DUE 2024) : 17,05/20 — Établissement : Azur Park (Gassin) — Référentiel : audit sécurité des personnes</t>
  </si>
  <si>
    <t xml:space="preserve">PHY-001</t>
  </si>
  <si>
    <t xml:space="preserve">L'entreprise a-t-elle mesuré le niveau d'exposition sonore quotidien (bruit des machines, armoires réseau, air comprimé, outils portatifs, etc.) et la valeur de pression acoustique de crête auxquels est soumis chaque travailleur de l'entreprise au cours de son travail ?</t>
  </si>
  <si>
    <t xml:space="preserve">PHY-002</t>
  </si>
  <si>
    <t xml:space="preserve">Les mesures de bruit, si elles ont été faites, sont-elles répertoriées dans un document comportant les postes de travail mesurés, la période de la mesure du bruit et la méthode adoptée ?</t>
  </si>
  <si>
    <t xml:space="preserve">PHY-003</t>
  </si>
  <si>
    <t xml:space="preserve">Les opérations de mesures de bruit, si elles ont été faites, datent-elles de moins de trois ans ?</t>
  </si>
  <si>
    <t xml:space="preserve">PHY-004</t>
  </si>
  <si>
    <t xml:space="preserve">Les mesures de bruit, si elles ont été faites, ont-elles été réalisées en collaboration avec l'ensemble des travailleurs concernés ?</t>
  </si>
  <si>
    <t xml:space="preserve">PHY-005</t>
  </si>
  <si>
    <t xml:space="preserve">L'entreprise connaît-elle la charge sonore de tous les postes de travail de l'entreprise ?</t>
  </si>
  <si>
    <t xml:space="preserve">PHY-006</t>
  </si>
  <si>
    <t xml:space="preserve">Tous les travailleurs exposés au bruit sont-ils recensés ?</t>
  </si>
  <si>
    <t xml:space="preserve">PHY-007</t>
  </si>
  <si>
    <t xml:space="preserve">L'entreprise a-t-elle identifié tous les travailleurs (ou postes de travail) pour lesquels l'exposition sonore quotidienne atteint ou dépasse le niveau de 85 dB(A) ou pour lesquels la pression acoustique de crête dépasse le niveau de 130 dB ?</t>
  </si>
  <si>
    <t xml:space="preserve">PHY-008</t>
  </si>
  <si>
    <t xml:space="preserve">Certains travailleurs dans l'entreprise sont-ils soumis à un niveau de bruit supérieur à 85 dB(A) sans protections d'oreilles ?</t>
  </si>
  <si>
    <t xml:space="preserve">PHY-009</t>
  </si>
  <si>
    <t xml:space="preserve">Certaines activités ou machines occasionnent-elles un bruit continu ?</t>
  </si>
  <si>
    <t xml:space="preserve">PHY-010</t>
  </si>
  <si>
    <t xml:space="preserve">Les postes de travail, les appareils et les zones où on relève un bruit continu et/ou dangereux pour l'ouïe sont-ils indiqués par la signalétique ''protections d'oreilles obligatoires'' ?</t>
  </si>
  <si>
    <t xml:space="preserve">PHY-011</t>
  </si>
  <si>
    <t xml:space="preserve">Les travailleurs exposés au bruit disposent-ils des EPI (protections d'oreilles notamment) nécessaires ?</t>
  </si>
  <si>
    <t xml:space="preserve">PHY-012</t>
  </si>
  <si>
    <t xml:space="preserve">L'encadrement vérifie-t-il régulièrement que les EPI sont portés par les travailleurs exposés au bruit ?</t>
  </si>
  <si>
    <t xml:space="preserve">PHY-013</t>
  </si>
  <si>
    <t xml:space="preserve">Les personnes exposées au bruit sont-elles informées des risques liés au bruit et de ses conséquences sur leur santé et leur sécurité ?</t>
  </si>
  <si>
    <t xml:space="preserve">PHY-014</t>
  </si>
  <si>
    <t xml:space="preserve">Les personnes exposées au bruit sont-elles informées des mesures de protection nécessaires et ont-elles reçu une formation sur le port correct des bouchons d'oreilles, casques d'oreilles, protecteurs, etc. ?</t>
  </si>
  <si>
    <t xml:space="preserve">PHY-015</t>
  </si>
  <si>
    <t xml:space="preserve">L'employeur s'est-il rapproché de son service de santé au travail et/ou du médecin du travail pour connaître les risques liés au bruit et ses conséquences sur la santé et la sécurité des travailleurs ?</t>
  </si>
  <si>
    <t xml:space="preserve">PHY-016</t>
  </si>
  <si>
    <t xml:space="preserve">L'éclairage des postes de travail a-t-il été étudié de manière à apporter un confort visuel aux opérateurs (quantité de lumière, éclairement du poste, etc.) ?</t>
  </si>
  <si>
    <t xml:space="preserve">PHY-017</t>
  </si>
  <si>
    <t xml:space="preserve">Les locaux affectés au travail et leurs dépendances (notamment les passages et escaliers), les espaces extérieurs où sont effectués des travaux permanents et les zones et voies de circulation extérieures empruntées de façon habituelle pendant les heures de travail sont-ils suffisamment éclairés ?</t>
  </si>
  <si>
    <t xml:space="preserve">PHY-018</t>
  </si>
  <si>
    <t xml:space="preserve">Toutes les zones de passage et les voies d'évacuation sont-elles suffisamment éclairées ?</t>
  </si>
  <si>
    <t xml:space="preserve">PHY-019</t>
  </si>
  <si>
    <t xml:space="preserve">Certains postes de travail, locaux, etc. ont-ils un éclairage artificiel ?</t>
  </si>
  <si>
    <t xml:space="preserve">PHY-020</t>
  </si>
  <si>
    <t xml:space="preserve">Les postes de travail situés à l'intérieur des locaux de travail sont-ils protégés du rayonnement solaire gênant, soit par la conception des ouvertures, soit par des protections fixes ou mobiles appropriées ?</t>
  </si>
  <si>
    <t xml:space="preserve">PHY-021</t>
  </si>
  <si>
    <t xml:space="preserve">Les dispositions appropriées sont-elles prises pour protéger les travailleurs contre l'éblouissement et la fatigue visuelle provoqués par des surfaces à forte luminance ou par des rapports de luminance trop importants entre surfaces voisines ?</t>
  </si>
  <si>
    <t xml:space="preserve">PHY-022</t>
  </si>
  <si>
    <t xml:space="preserve">Toutes les dispositions sont-elles prises afin que les travailleurs ne se trouvent pas incommodés par les effets thermiques dus au rayonnement des sources d'éclairage mises en oeuvre ? Les sources d'éclairage sont-elles aménagées, ou installées, de façon à éviter tout risque de brûlure ?</t>
  </si>
  <si>
    <t xml:space="preserve">PHY-023</t>
  </si>
  <si>
    <t xml:space="preserve">Les organes de commande d'éclairage sont-ils d'accès facile ? Dans les locaux aveugles, sont-ils munis de voyants lumineux ?</t>
  </si>
  <si>
    <t xml:space="preserve">PHY-024</t>
  </si>
  <si>
    <t xml:space="preserve">Le matériel d'éclairage peut-il être aisément entretenu ? Existe-t-il un carnet d'entretien ?</t>
  </si>
  <si>
    <t xml:space="preserve">PHY-025</t>
  </si>
  <si>
    <t xml:space="preserve">L'employeur a-t-il fait procéder à des relevés photométriques par son service de santé au travail ou un organisme agréé afin d'éviter tout risque lié à l'éclairage des postes de travail et des locaux ?</t>
  </si>
  <si>
    <t xml:space="preserve">PHY-026</t>
  </si>
  <si>
    <t xml:space="preserve">Existe-t-il des risques d'éblouissement sur certains postes et/ou zones de travail ?</t>
  </si>
  <si>
    <t xml:space="preserve">PHY-027</t>
  </si>
  <si>
    <t xml:space="preserve">Les travailleurs sont-ils informés des risques liés à un mauvais éclairage ?</t>
  </si>
  <si>
    <t xml:space="preserve">PHY-028</t>
  </si>
  <si>
    <t xml:space="preserve">L'employeur s'est-il rapproché de son service de santé au travail et/ou du médecin du travail pour connaître les risques liés à un mauvais éclairage et ses conséquences sur la santé et la sécurité des travailleurs ?</t>
  </si>
  <si>
    <t xml:space="preserve">PHY-029</t>
  </si>
  <si>
    <t xml:space="preserve">Certains travailleurs sont-ils soumis à des rayonnements ionisants, optiques et/ou électromagnétiques ?</t>
  </si>
  <si>
    <t xml:space="preserve">PHY-030</t>
  </si>
  <si>
    <t xml:space="preserve">Certains travailleurs sont-ils amenés à travailler dans des locaux ayant une aération insuffisante ?</t>
  </si>
  <si>
    <t xml:space="preserve">PHY-031</t>
  </si>
  <si>
    <t xml:space="preserve">Tous les locaux de l'entreprise dans lesquels sont amenés à travailler les travailleurs possèdent-ils une ventilation mécanique ou une ventilation naturelle permanente ?</t>
  </si>
  <si>
    <t xml:space="preserve">PHY-032</t>
  </si>
  <si>
    <t xml:space="preserve">Lorsque l'aération est assurée par des dispositifs de ventilation, le débit minimal d'air neuf à introduire par occupant dans les locaux à pollution non spécifique est-il conforme à la réglementation ?</t>
  </si>
  <si>
    <t xml:space="preserve">PHY-033</t>
  </si>
  <si>
    <t xml:space="preserve">L'air envoyé après recyclage dans les locaux à pollution non spécifique est-il filtré ?</t>
  </si>
  <si>
    <t xml:space="preserve">PHY-034</t>
  </si>
  <si>
    <t xml:space="preserve">Certains travailleurs sont-ils exposés aux gaz d'échappement (véhicules à énergie thermique, chariots à gaz, essence, diesel, etc.) ?</t>
  </si>
  <si>
    <t xml:space="preserve">PHY-035</t>
  </si>
  <si>
    <t xml:space="preserve">L'employeur s'est-il rapproché de son service de santé au travail et/ou du médecin du travail pour connaître les risques liés à l'aération, la ventilation, le renouvellement de l'air et ses conséquences sur la santé et la sécurité des travailleurs ?</t>
  </si>
  <si>
    <t xml:space="preserve">PHY-036</t>
  </si>
  <si>
    <t xml:space="preserve">Les locaux affectés au travail sont-ils chauffés pendant la saison froide ?</t>
  </si>
  <si>
    <t xml:space="preserve">PHY-037</t>
  </si>
  <si>
    <t xml:space="preserve">La température des locaux annexes, tels que locaux de restauration, locaux de repos, locaux pour le personnel en service de permanence, locaux sanitaires et locaux de premiers secours est-elle conforme à la destination spécifique de ces locaux ?</t>
  </si>
  <si>
    <t xml:space="preserve">PHY-038</t>
  </si>
  <si>
    <t xml:space="preserve">Les équipements et caractéristiques des locaux de travail permettent-ils d'adapter la température à l'organisme humain pendant le temps de travail ?</t>
  </si>
  <si>
    <t xml:space="preserve">PHY-039</t>
  </si>
  <si>
    <t xml:space="preserve">Les équipements et caractéristiques des locaux annexes, et notamment des locaux sanitaires, des locaux de restauration et des locaux médicaux, permettent-ils d'adapter la température à la destination spécifique de ces locaux ?</t>
  </si>
  <si>
    <t xml:space="preserve">PHY-040</t>
  </si>
  <si>
    <t xml:space="preserve">Certains postes de travail sont-ils exposés à des courants d'air ?</t>
  </si>
  <si>
    <t xml:space="preserve">PHY-041</t>
  </si>
  <si>
    <t xml:space="preserve">L'entreprise a-t-elle prévu d'adapter les horaires de travail des travailleurs soumis à des efforts physiques intenses en cas de fortes chaleurs ?</t>
  </si>
  <si>
    <t xml:space="preserve">PHY-042</t>
  </si>
  <si>
    <t xml:space="preserve">Les bâtiments ou les locaux sont-ils équipés de protections thermiques (stores, volets, isolation des parois, films anti-solaires sur les parois vitrées, etc.) ?</t>
  </si>
  <si>
    <t xml:space="preserve">PHY-043</t>
  </si>
  <si>
    <t xml:space="preserve">Les EPI sont-ils adaptés aux fortes chaleurs ?</t>
  </si>
  <si>
    <t xml:space="preserve">PHY-044</t>
  </si>
  <si>
    <t xml:space="preserve">L'entreprise veille-t-elle à ce que les vêtements des travailleurs exposés aux fortes chaleurs soient appropriés ?</t>
  </si>
  <si>
    <t xml:space="preserve">PHY-045</t>
  </si>
  <si>
    <t xml:space="preserve">Les travailleurs disposent-ils de moyens utiles de protection (stores, ventilateurs d'appoint, climatiseurs, etc.) en cas de fortes chaleurs ?</t>
  </si>
  <si>
    <t xml:space="preserve">PHY-046</t>
  </si>
  <si>
    <t xml:space="preserve">Y a-t-il des aires climatisées ou plus fraîches sur les lieux de travail et/ou des zones d'ombre pour les travailleurs de force notamment ?</t>
  </si>
  <si>
    <t xml:space="preserve">PHY-047</t>
  </si>
  <si>
    <t xml:space="preserve">Les travailleurs sont-ils exposés aux intempéries (froid, pluie, humidité, chaleur, soleil) dans le cadre de leur travail ?</t>
  </si>
  <si>
    <t xml:space="preserve">PHY-048</t>
  </si>
  <si>
    <t xml:space="preserve">Les travailleurs exposés au froid et/ou aux intempéries dans le cadre de leur travail disposent-ils de moyens de protection efficaces fournis par l'entreprise ?</t>
  </si>
  <si>
    <t xml:space="preserve">PHY-049</t>
  </si>
  <si>
    <t xml:space="preserve">L'entreprise a-t-elle fait une analyse détaillée de l'aménagement et de l'ergonomie des postes de travail de l'entreprise avec les travailleurs concernés ?</t>
  </si>
  <si>
    <t xml:space="preserve">PHY-050</t>
  </si>
  <si>
    <t xml:space="preserve">Certains travailleurs travaillent-ils dans une position inconfortable (mauvaise position du matériel, du bureau, promiscuité, etc.) ?</t>
  </si>
  <si>
    <t xml:space="preserve">PHY-051</t>
  </si>
  <si>
    <t xml:space="preserve">L'entreprise a-t-elle mis en oeuvre un plan d'évaluation et de prévention des risques de troubles musculo-squelettiques (TMS) de la totalité des postes de l'entreprise ?</t>
  </si>
  <si>
    <t xml:space="preserve">PHY-052</t>
  </si>
  <si>
    <t xml:space="preserve">Existe-t-il des postes de travail qui nécessitent une répétition d'un même geste ou d'une série de gestes à cadence élevée ?</t>
  </si>
  <si>
    <t xml:space="preserve">PHY-053</t>
  </si>
  <si>
    <t xml:space="preserve">Existe-t-il des postes de travail qui nécessitent de travailler fréquemment en position maintenue (postures forcées, position accroupie, courbée, en torsion à genoux ou les bras levés, position fixe de la tête et du cou, etc.) ?</t>
  </si>
  <si>
    <t xml:space="preserve">PHY-054</t>
  </si>
  <si>
    <t xml:space="preserve">Des travailleurs travaillent-ils longtemps en position debout et/ou en piétinements (en magasin, dans l'atelier, etc.) ?</t>
  </si>
  <si>
    <t xml:space="preserve">PHY-055</t>
  </si>
  <si>
    <t xml:space="preserve">Les travailleurs concernés par les gestes répétitifs, le travail en position maintenue, les efforts soutenus, etc. sont-ils recensés ?</t>
  </si>
  <si>
    <t xml:space="preserve">PHY-056</t>
  </si>
  <si>
    <t xml:space="preserve">L'entreprise a-t-elle fait une analyse détaillée des postes concernés par les gestes répétitifs, le travail en position maintenue, les efforts soutenus, etc. ?</t>
  </si>
  <si>
    <t xml:space="preserve">PHY-057</t>
  </si>
  <si>
    <t xml:space="preserve">L'entreprise a-t-elle prévu un plan d'aménagement des postes concernés par les gestes répétitifs, le travail en position maintenue, les efforts soutenus, etc. (fréquence d'exposition, horaires, changement d'équipe, amélioration des matériels et équipements, etc.) afin de limiter la fréquence d'exposition des travailleurs concernés ?</t>
  </si>
  <si>
    <t xml:space="preserve">PHY-058</t>
  </si>
  <si>
    <t xml:space="preserve">Les travailleurs exerçant des gestes répétitifs ou un travail en position maintenue et/ou produisant des efforts soutenus sont-ils informés des risques encourus lors de ces activités ?</t>
  </si>
  <si>
    <t xml:space="preserve">PHY-059</t>
  </si>
  <si>
    <t xml:space="preserve">L'employeur s'est-il rapproché de son service de santé au travail et/ou du médecin du travail pour connaître les risques liés aux gestes répétitifs, travail en position maintenue, efforts soutenus, etc. et ses conséquences sur la santé et la sécurité des travailleurs ?</t>
  </si>
  <si>
    <t xml:space="preserve">PHY-060</t>
  </si>
  <si>
    <t xml:space="preserve">Les travailleurs exerçant des gestes répétitifs ou un travail en position maintenue et/ou produisant des efforts soutenus sont-ils formés à la prévention des risques de troubles musculo-squelettiques (TMS) liés à leur travail ?</t>
  </si>
  <si>
    <t xml:space="preserve">PHY-061</t>
  </si>
  <si>
    <t xml:space="preserve">Les machines de l'entreprise sont-elles conformes aux préconisations du fabricant et aux normes de sécurité en vigueur ?</t>
  </si>
  <si>
    <t xml:space="preserve">PHY-062</t>
  </si>
  <si>
    <t xml:space="preserve">Les machines et équipements utilisés pour le travail conviennent-ils aux activités réalisées, sont-ils faciles à manipuler et permettent-ils de travailler sans efforts, en adoptant une posture correcte ?</t>
  </si>
  <si>
    <t xml:space="preserve">PHY-063</t>
  </si>
  <si>
    <t xml:space="preserve">Les éléments et organes de commande sont-ils placés à une hauteur adéquate de façon à pouvoir être actionnés sans efforts importants ?</t>
  </si>
  <si>
    <t xml:space="preserve">PHY-064</t>
  </si>
  <si>
    <t xml:space="preserve">Les écrans et les panneaux de commande sont-ils installés de telle sorte qu'ils puissent être lus et contrôlés sans devoir travailler en tournant la tête ou le buste ?</t>
  </si>
  <si>
    <t xml:space="preserve">PHY-065</t>
  </si>
  <si>
    <t xml:space="preserve">Les machines utilisées possèdent-elles un carnet d'entretien ?</t>
  </si>
  <si>
    <t xml:space="preserve">PHY-066</t>
  </si>
  <si>
    <t xml:space="preserve">Les carnets d'entretien sont-ils mis à jour ?</t>
  </si>
  <si>
    <t xml:space="preserve">PHY-067</t>
  </si>
  <si>
    <t xml:space="preserve">Existe-t-il des parties mobiles dangereuses, sans protection ou avec une protection de fortune, accessibles sur certaines machines ?</t>
  </si>
  <si>
    <t xml:space="preserve">PHY-068</t>
  </si>
  <si>
    <t xml:space="preserve">Les dispositifs de sécurité équipant les machines sont-ils en bon état de marche ?</t>
  </si>
  <si>
    <t xml:space="preserve">PHY-069</t>
  </si>
  <si>
    <t xml:space="preserve">Existe-t-il des possibilités d'écrasement entre des équipements et une partie fixe (mur, pilier) ?</t>
  </si>
  <si>
    <t xml:space="preserve">PHY-070</t>
  </si>
  <si>
    <t xml:space="preserve">Existe-t-il des possibilités d'écrasement, d'accrochage, de coincement, de pincement, de heurt, de collision, etc. sur une ou plusieurs machines et/ou équipements ?</t>
  </si>
  <si>
    <t xml:space="preserve">PHY-071</t>
  </si>
  <si>
    <t xml:space="preserve">Y a-t-il des procédures formalisées de maintien à l'arrêt sûr, pour toutes les interventions sur les machines (consignation, information des travailleurs, signalétique, contrôle de la zone de travail, etc.) ?</t>
  </si>
  <si>
    <t xml:space="preserve">PHY-072</t>
  </si>
  <si>
    <t xml:space="preserve">Ces procédures sont-elles connues de tous les opérateurs ?</t>
  </si>
  <si>
    <t xml:space="preserve">PHY-073</t>
  </si>
  <si>
    <t xml:space="preserve">Des dispositions particulières de sécurité sont-elles prises pendant les phases de réglage ou d'essai des machines ?</t>
  </si>
  <si>
    <t xml:space="preserve">PHY-074</t>
  </si>
  <si>
    <t xml:space="preserve">Les moyens d'accès (échelles, passerelles, plateformes) aux zones machines et équipements sont-ils sécurisés ?</t>
  </si>
  <si>
    <t xml:space="preserve">PHY-075</t>
  </si>
  <si>
    <t xml:space="preserve">Les opérateurs sont-ils tous formés et/ou habilités à l'utilisation des machines ou équipements ?</t>
  </si>
  <si>
    <t xml:space="preserve">PHY-076</t>
  </si>
  <si>
    <t xml:space="preserve">Les travailleurs concernés sont-ils informés des risques liés à l'utilisation des machines et équipements ?</t>
  </si>
  <si>
    <t xml:space="preserve">PHY-077</t>
  </si>
  <si>
    <t xml:space="preserve">Des travailleurs sont-ils amenés à effectuer des manutentions manuelles et/ou mécaniques de charges (chargement et déchargement de marchandises, transport de colis, etc.) ?</t>
  </si>
  <si>
    <t xml:space="preserve">PHY-078</t>
  </si>
  <si>
    <t xml:space="preserve">Certains travailleurs sont-ils amenés à travailler en hauteur (échelles, échafaudages mobiles, nacelles, etc.) ?</t>
  </si>
  <si>
    <t xml:space="preserve">PHY-079</t>
  </si>
  <si>
    <t xml:space="preserve">Tous les moyens de prévention concernant les travailleurs amenés à travailler en hauteur (échelles, échafaudages mobiles, nacelles, etc.) ont-ils été mis en oeuvre ?</t>
  </si>
  <si>
    <t xml:space="preserve">PHY-080</t>
  </si>
  <si>
    <t xml:space="preserve">Certains travailleurs exécutent-ils des travaux simultanément à des hauteurs ou étages différents (toitures, passerelles, charpentes, etc.) ?</t>
  </si>
  <si>
    <t xml:space="preserve">PHY-081</t>
  </si>
  <si>
    <t xml:space="preserve">Certaines activités de l'entreprise sont-elles effectuées dans des tranchées, des puits ou galeries non étayés, etc. ?</t>
  </si>
  <si>
    <t xml:space="preserve">PHY-082</t>
  </si>
  <si>
    <t xml:space="preserve">Certains travailleurs sont-ils amenés à travailler en ''petite hauteur'' sur des escabeaux, trépieds, marches, etc. ?</t>
  </si>
  <si>
    <t xml:space="preserve">PHY-083</t>
  </si>
  <si>
    <t xml:space="preserve">Les travailleurs exposés sont-ils formés et informés des risques encourus lors d'exécution de leur travail en hauteur (échelles, échafaudages mobiles, nacelles, etc.) ?</t>
  </si>
  <si>
    <t xml:space="preserve">PHY-084</t>
  </si>
  <si>
    <t xml:space="preserve">Des échelles mobiles sont-elles utilisées par les travailleurs dans le cadre de leur travail ?</t>
  </si>
  <si>
    <t xml:space="preserve">PHY-085</t>
  </si>
  <si>
    <t xml:space="preserve">L'entreprise utilise-t-elle des appareils ou outils transmettant des vibrations aux membres supérieurs et/ou à l'ensemble du corps (tronçonneuse, meuleuse, clé à choc, marteau-piqueur, etc.) ?</t>
  </si>
  <si>
    <t xml:space="preserve">PHY-086</t>
  </si>
  <si>
    <t xml:space="preserve">L'entreprise travaille-t-elle avec des véhicules émettant de fortes vibrations ?</t>
  </si>
  <si>
    <t xml:space="preserve">PHY-087</t>
  </si>
  <si>
    <t xml:space="preserve">Une étude des risques auxquels sont soumis les travailleurs utilisant des appareils, outils, véhicules émettant des vibrations a-t-elle été réalisée ?</t>
  </si>
  <si>
    <t xml:space="preserve">PHY-088</t>
  </si>
  <si>
    <t xml:space="preserve">Existe-t-il des postes pour lesquels le travailleur est assis ou se tient debout sur un plancher ou un siège vibrant ?</t>
  </si>
  <si>
    <t xml:space="preserve">PHY-089</t>
  </si>
  <si>
    <t xml:space="preserve">Tous les travailleurs travaillant sur appareils ou outils transmettant des vibrations sont-ils recensés ?</t>
  </si>
  <si>
    <t xml:space="preserve">PHY-090</t>
  </si>
  <si>
    <t xml:space="preserve">La valeur limite d'exposition journalière aux vibrations des travailleurs concernés est-elle connue et établie pour chaque poste de travail ?</t>
  </si>
  <si>
    <t xml:space="preserve">PHY-091</t>
  </si>
  <si>
    <t xml:space="preserve">Le temps d'exposition (c'est-à-dire le temps durant lequel une personne est soumise aux vibrations) est-il limité au strict minimum, par exemple en répartissant le travail entre plusieurs collaborateurs ? Les travaux générant des vibrations sont-ils répartis entre plusieurs personnes ?</t>
  </si>
  <si>
    <t xml:space="preserve">PHY-092</t>
  </si>
  <si>
    <t xml:space="preserve">Des travailleurs utilisant des appareils ou outils transmettant des vibrations aux membres supérieurs se plaignent-ils de fourmillements, picotements dans les doigts, etc. ?</t>
  </si>
  <si>
    <t xml:space="preserve">PHY-093</t>
  </si>
  <si>
    <t xml:space="preserve">Les travailleurs concernés connaissent-ils les risques liés aux vibrations transmises au système main-bras (fourmillements, picotements dans les doigts, etc.) ?</t>
  </si>
  <si>
    <t xml:space="preserve">PHY-094</t>
  </si>
  <si>
    <t xml:space="preserve">L'employeur connaît-il les risques liés aux vibrations transmises au système main-bras (fourmillements, picotements dans les doigts, etc.) ?</t>
  </si>
  <si>
    <t xml:space="preserve">PHY-095</t>
  </si>
  <si>
    <t xml:space="preserve">L'employeur s'est-il rapproché de son service de santé au travail et/ou du médecin du travail pour connaître les risques liés aux vibrations et ses conséquences sur la santé et la sécurité des travailleurs ?</t>
  </si>
  <si>
    <t xml:space="preserve">PHY-096</t>
  </si>
  <si>
    <t xml:space="preserve">L'employeur a-t-il entrepris avec le médecin du travail une campagne d'évaluation des risques des postes de travail soumis à des vibrations ?</t>
  </si>
  <si>
    <t xml:space="preserve">PHY-097</t>
  </si>
  <si>
    <t xml:space="preserve">L'entreprise utilise-t-elle des machines électriques portatives ?</t>
  </si>
  <si>
    <t xml:space="preserve">PHY-098</t>
  </si>
  <si>
    <t xml:space="preserve">Les travailleurs sont-ils formés à l'utilisation en sécurité des machines électriques portatives ? Leurs connaissances sont-elles réactualisées régulièrement ?</t>
  </si>
  <si>
    <t xml:space="preserve">PHY-099</t>
  </si>
  <si>
    <t xml:space="preserve">Les EPI (lunettes, gants, etc.) et/ou des écrans de protection sont-ils systématiquement utilisés par les travailleurs lors de l'utilisation de machines portatives pouvant générer des projections ?</t>
  </si>
  <si>
    <t xml:space="preserve">PHY-100</t>
  </si>
  <si>
    <t xml:space="preserve">L'encadrement vérifie-t-il que les EPI (lunettes, gants, etc.) et/ou écrans de protection sont systématiquement utilisés par les travailleurs lors de leurs activités, et notamment lors de l'utilisation de machines portatives pouvant générer des projections ?</t>
  </si>
  <si>
    <t xml:space="preserve">PHY-101</t>
  </si>
  <si>
    <t xml:space="preserve">Les machines électriques portatives sont-elles achetées par une personne qualifiée qui tient compte de la sécurité des travailleurs ?</t>
  </si>
  <si>
    <t xml:space="preserve">PHY-102</t>
  </si>
  <si>
    <t xml:space="preserve">Les machines électriques portatives utilisées ont-elles été livrées avec une déclaration de conformité du fabricant ainsi qu'une notice d'instructions en français, accessible aux travailleurs concernés ?</t>
  </si>
  <si>
    <t xml:space="preserve">PHY-103</t>
  </si>
  <si>
    <t xml:space="preserve">Une personne qualifiée a-t-elle été désignée pour effectuer les travaux de réparation et d'entretien des machines électriques portatives ?</t>
  </si>
  <si>
    <t xml:space="preserve">PHY-104</t>
  </si>
  <si>
    <t xml:space="preserve">Les interventions, l'entretien, les réparations effectuées sur les machines électriques portatives sont-elles répertoriées sur un carnet d'entretien ?</t>
  </si>
  <si>
    <t xml:space="preserve">PHY-105</t>
  </si>
  <si>
    <t xml:space="preserve">Les machines électriques portatives de l'entreprise sont-elles en bon état, notamment l'interrupteur d'arrêt et de mise en marche ? Tout risque électrique est-il éliminé (raccordements conformes, machines aux normes, etc.) ?</t>
  </si>
  <si>
    <t xml:space="preserve">PHY-106</t>
  </si>
  <si>
    <t xml:space="preserve">L'état général des machines électriques portatives est-il contrôlé périodiquement et l'outillage usé et/ou détérioré systématiquement éliminé ?</t>
  </si>
  <si>
    <t xml:space="preserve">PHY-107</t>
  </si>
  <si>
    <t xml:space="preserve">Les machines électriques portatives (ponceuses, raboteuses, etc.) sont-elles équipées le cas échéant d'un sac ou d'un autre dispositif permettant de collecter et d'aspirer les poussières et copeaux ?</t>
  </si>
  <si>
    <t xml:space="preserve">PHY-108</t>
  </si>
  <si>
    <t xml:space="preserve">L'entreprise utilise-t-elle des outillages à main ?</t>
  </si>
  <si>
    <t xml:space="preserve">PHY-109</t>
  </si>
  <si>
    <t xml:space="preserve">Les manches des outils utilisés dans l'entreprise sont-ils en bon état ? Les manches et les poignées sont-ils correctement montés ?</t>
  </si>
  <si>
    <t xml:space="preserve">PHY-110</t>
  </si>
  <si>
    <t xml:space="preserve">Les outils et appareils utilisés pour le travail conviennent-ils aux activités réalisées, sont-ils faciles à manipuler et permettent-ils de travailler sans efforts, en adoptant une posture correcte ?</t>
  </si>
  <si>
    <t xml:space="preserve">PHY-111</t>
  </si>
  <si>
    <t xml:space="preserve">Les moyens de serrage (étaux) sont-ils à disposition lors de l'utilisation d'outils entraînant des chocs ?</t>
  </si>
  <si>
    <t xml:space="preserve">PHY-112</t>
  </si>
  <si>
    <t xml:space="preserve">Les surfaces de frappe des marteaux et des burins sont-elles ébavurées pour éviter tout risque de blessure ?</t>
  </si>
  <si>
    <t xml:space="preserve">PHY-113</t>
  </si>
  <si>
    <t xml:space="preserve">Les pointes ou tranchants des outils sont-ils protégés lors des circulations des travailleurs dans l'entreprise et/ou lors de leur rangement ?</t>
  </si>
  <si>
    <t xml:space="preserve">PHY-114</t>
  </si>
  <si>
    <t xml:space="preserve">Les outils sont-ils correctement rangés, à leur place, par les travailleurs ?</t>
  </si>
  <si>
    <t xml:space="preserve">PHY-115</t>
  </si>
  <si>
    <t xml:space="preserve">Les travailleurs sont-ils formés à l'utilisation en sécurité des outils à main, en particulier pour l'outillage spécialisé ? Leurs connaissances sont-elles réactualisées régulièrement ?</t>
  </si>
  <si>
    <t xml:space="preserve">PHY-116</t>
  </si>
  <si>
    <t xml:space="preserve">L'état général de l'outillage à main est-il contrôlé périodiquement et l'outillage usé ou détérioré systématiquement éliminé ?</t>
  </si>
  <si>
    <t xml:space="preserve">PHY-117</t>
  </si>
  <si>
    <t xml:space="preserve">L'encadrement contrôle-t-il le respect des règles d'utilisation et de sécurité concernant l'outillage à main ?</t>
  </si>
  <si>
    <t xml:space="preserve">PHY-118</t>
  </si>
  <si>
    <t xml:space="preserve">L'entreprise a-t-elle étudié ou envisagé la possibilité de réduire les efforts des travailleurs par l'utilisation d'outils électriques adaptés (par exemple une visseuse dévisseuse portative plutôt qu'un tournevis) ?</t>
  </si>
  <si>
    <t xml:space="preserve">PHY-119</t>
  </si>
  <si>
    <t xml:space="preserve">Des travailleurs sont-ils amenés à travailler sur ordinateur ou écrans de contrôle ?</t>
  </si>
  <si>
    <t xml:space="preserve">PHY-120</t>
  </si>
  <si>
    <t xml:space="preserve">Tous les travailleurs travaillant sur des postes informatisés sont-ils recensés ?</t>
  </si>
  <si>
    <t xml:space="preserve">PHY-121</t>
  </si>
  <si>
    <t xml:space="preserve">Certains travailleurs utilisent-ils leur ordinateur toute la journée sans exécuter d'autres tâches ?</t>
  </si>
  <si>
    <t xml:space="preserve">PHY-122</t>
  </si>
  <si>
    <t xml:space="preserve">Les travailleurs concernés par le travail sur ordinateur ont-ils la possibilité d'exécuter d'autres tâches de manière à réduire le temps passé sur écran ?</t>
  </si>
  <si>
    <t xml:space="preserve">PHY-123</t>
  </si>
  <si>
    <t xml:space="preserve">Les écrans sont-ils placés perpendiculairement aux fenêtres afin qu'aucune source de lumière ne se reflète sur l'écran ?</t>
  </si>
  <si>
    <t xml:space="preserve">PHY-124</t>
  </si>
  <si>
    <t xml:space="preserve">Les travailleurs concernés ont-ils suffisamment de place pour les documents de travail, le clavier et la souris ?</t>
  </si>
  <si>
    <t xml:space="preserve">PHY-125</t>
  </si>
  <si>
    <t xml:space="preserve">Les travailleurs concernés ont-ils suffisamment de place pour leurs jambes ?</t>
  </si>
  <si>
    <t xml:space="preserve">PHY-126</t>
  </si>
  <si>
    <t xml:space="preserve">Les écrans sont-ils placés bien en face des travailleurs afin qu'ils n'aient pas à tourner la tête ?</t>
  </si>
  <si>
    <t xml:space="preserve">PHY-127</t>
  </si>
  <si>
    <t xml:space="preserve">La hauteur des sièges et des tables sont-elles réglées en fonction de la taille de chaque travailleur ?</t>
  </si>
  <si>
    <t xml:space="preserve">PHY-128</t>
  </si>
  <si>
    <t xml:space="preserve">La hauteur des écrans est-elle réglée en fonction de la taille de chaque travailleur ?</t>
  </si>
  <si>
    <t xml:space="preserve">PHY-129</t>
  </si>
  <si>
    <t xml:space="preserve">La distance entre les yeux et l'écran ainsi que le porte-documents est-elle d'environ 60/80cm ?</t>
  </si>
  <si>
    <t xml:space="preserve">PHY-130</t>
  </si>
  <si>
    <t xml:space="preserve">Les dossiers des sièges peuvent-ils être inclinés ?</t>
  </si>
  <si>
    <t xml:space="preserve">PHY-131</t>
  </si>
  <si>
    <t xml:space="preserve">Des accessoires comme par exemple des repose-pieds, porte-documents et/ou repose-poignets sont-ils fournis aux travailleurs à leur demande ?</t>
  </si>
  <si>
    <t xml:space="preserve">PHY-132</t>
  </si>
  <si>
    <t xml:space="preserve">La luminosité des écrans est-elle réglée de façon optimale par des personnes compétentes ?</t>
  </si>
  <si>
    <t xml:space="preserve">PHY-133</t>
  </si>
  <si>
    <t xml:space="preserve">Les écrans, claviers et souris sont-ils régulièrement nettoyés ?</t>
  </si>
  <si>
    <t xml:space="preserve">PHY-134</t>
  </si>
  <si>
    <t xml:space="preserve">L'agencement et le réglage des éléments des postes sont-ils régulièrement contrôlés par l'encadrement ?</t>
  </si>
  <si>
    <t xml:space="preserve">PHY-135</t>
  </si>
  <si>
    <t xml:space="preserve">Les travailleurs concernés par le travail sur ordinateur effectuent-ils des pauses ?</t>
  </si>
  <si>
    <t xml:space="preserve">PHY-136</t>
  </si>
  <si>
    <t xml:space="preserve">Les travailleurs concernés par le travail sur ordinateur sont-ils informés de la nécessité d'effectuer régulièrement des pauses ?</t>
  </si>
  <si>
    <t xml:space="preserve">PHY-137</t>
  </si>
  <si>
    <t xml:space="preserve">L'encadrement incite-t-il les travailleurs concernés par le travail sur ordinateur à effectuer régulièrement des pauses ?</t>
  </si>
  <si>
    <t xml:space="preserve">PHY-138</t>
  </si>
  <si>
    <t xml:space="preserve">L'employeur connaît-il les risques liés au travail sur ordinateur sur la santé et la sécurité des travailleurs (troubles musculo-squelettiques (TMS) notamment) ?</t>
  </si>
  <si>
    <t xml:space="preserve">PHY-139</t>
  </si>
  <si>
    <t xml:space="preserve">L'employeur s'est-il rapproché de son service de santé au travail et/ou du médecin du travail pour connaître les risques liés au travail sur ordinateur et ses conséquences sur la santé et la sécurité des travailleurs et/ou pour faire une analyse détaillée des postes informatisés (éclairage, ergonomie, siège, etc.) ?</t>
  </si>
  <si>
    <t xml:space="preserve">PHY-140</t>
  </si>
  <si>
    <t xml:space="preserve">Les travailleurs concernés sont-ils informés des risques liés au travail sur ordinateur ?</t>
  </si>
  <si>
    <t xml:space="preserve">PHY-141</t>
  </si>
  <si>
    <t xml:space="preserve">Les travailleurs concernés connaissent-ils les bonnes postures et les mesures de sécurité permettant de limiter les risques liés au travail sur ordinateur ?</t>
  </si>
  <si>
    <t xml:space="preserve">PHY-142</t>
  </si>
  <si>
    <t xml:space="preserve">Les travailleurs concernés ont-ils reçu une formation concernant le travail sur ordinateur (ergonomie du poste, éclairage, réglages, pauses, etc.) ?</t>
  </si>
  <si>
    <t xml:space="preserve">PHY-143</t>
  </si>
  <si>
    <t xml:space="preserve">L'entreprise a-t-elle fait une analyse détaillée des postes informatisés (éclairage, siège, ergonomie, etc.) ?</t>
  </si>
  <si>
    <t xml:space="preserve">PHY-144</t>
  </si>
  <si>
    <t xml:space="preserve">Un responsable a-t-il été désigné et formé pour prendre en charge les questions liées aux postes de travail informatisés ?</t>
  </si>
  <si>
    <t xml:space="preserve">PHY-145</t>
  </si>
  <si>
    <t xml:space="preserve">Les composants électriques des postes informatisés sont-ils régulièrement vérifiés (prises électriques, branchements, etc.) ?</t>
  </si>
  <si>
    <t xml:space="preserve">PHY-146</t>
  </si>
  <si>
    <t xml:space="preserve">Les matériels informatiques ont-ils un carnet d'entretien ?</t>
  </si>
  <si>
    <t xml:space="preserve">PHY-147</t>
  </si>
  <si>
    <t xml:space="preserve">Les interventions effectuées sur les matériels informatiques sont-elles inscrites sur les carnets d'entretien ?</t>
  </si>
  <si>
    <t xml:space="preserve">RISQUES DES CIRCULATIONS ET DÉPLACEMENTS</t>
  </si>
  <si>
    <t xml:space="preserve">CIR-001</t>
  </si>
  <si>
    <t xml:space="preserve">Un responsable est-il nommé pour organiser la circulation en sécurité des travailleurs au sein de l'entreprise (signalétique, nettoyage, entretien et/ou déneigement, etc. des voies de circulation, des escaliers, des portes et portails) ?</t>
  </si>
  <si>
    <t xml:space="preserve">CIR-002</t>
  </si>
  <si>
    <t xml:space="preserve">Les personnel de l'entreprise amené à se déplacer sur les voies de circulation des piétons porte-t-il des chaussures maintenant bien le pied et munies de semelles antidérapantes ?</t>
  </si>
  <si>
    <t xml:space="preserve">CIR-003</t>
  </si>
  <si>
    <t xml:space="preserve">Existe-t-il dans l'entreprise des dispositifs de signalisation (panneau ''danger'' par exemple) signalant les dangers temporaires de faux pas et/ou de glissade, ou pour isoler une zone dangereuse ?</t>
  </si>
  <si>
    <t xml:space="preserve">CIR-004</t>
  </si>
  <si>
    <t xml:space="preserve">Les portes se trouvant dans les voies de circulation s'ouvrent-elles dans le sens de l'évacuation ?</t>
  </si>
  <si>
    <t xml:space="preserve">CIR-005</t>
  </si>
  <si>
    <t xml:space="preserve">Les mesures nécessaires à l'élimination des risques lors de l'utilisation des portes et des portails ont-elles été prises (par exemple, sécurisation des passage pour piétons débouchant directement sur une voie de circulation, risque inattendu de heurt ou collision dissimulé par une porte, zone propice aux chutes, contact violent de personnes ou de véhicules avec une porte en mouvement, etc.) ?</t>
  </si>
  <si>
    <t xml:space="preserve">CIR-006</t>
  </si>
  <si>
    <t xml:space="preserve">Les zones propices aux coincements (pincements, cisaillements, blessures, etc.) situées entre les portes et les parties fixes du bâtiment sont-elles sécurisées ?</t>
  </si>
  <si>
    <t xml:space="preserve">CIR-007</t>
  </si>
  <si>
    <t xml:space="preserve">Les portes coulissantes sont-elles sécurisées contre les chutes, c'est-à-dire qu'elles ne possèdent ni seuil, ni butée, ni marche, etc.</t>
  </si>
  <si>
    <t xml:space="preserve">CIR-008</t>
  </si>
  <si>
    <t xml:space="preserve">Est-ce que toutes les installations motorisées de porte ou portail sont équipées d'un interrupteur de sécurité ?</t>
  </si>
  <si>
    <t xml:space="preserve">CIR-009</t>
  </si>
  <si>
    <t xml:space="preserve">Les fenêtres de l'entreprise sont-elles toutes munies d'une balustrade ? L'entretien et le contrôle des éléments de sécurité des fenêtres sont-ils régulièrement effectués ?</t>
  </si>
  <si>
    <t xml:space="preserve">CIR-010</t>
  </si>
  <si>
    <t xml:space="preserve">Les voies de circulation des piétons (couloirs, escaliers, voies d'accès, voies de dégagement, etc.) sont-elles bien délimitée et signalisées ?</t>
  </si>
  <si>
    <t xml:space="preserve">CIR-011</t>
  </si>
  <si>
    <t xml:space="preserve">Les voies de circulation des piétons sont-elles planes (sans trous, inégalités, dénivellations, aspérités, etc.) ? Les sols sont-ils lisses et exempts de crevasses, rainures, arrêtes et d'autres éléments pouvant entraîner un faux pas ou une chute ?</t>
  </si>
  <si>
    <t xml:space="preserve">CIR-012</t>
  </si>
  <si>
    <t xml:space="preserve">Les marches, les seuils, etc. qui ne peuvent être évités sont-ils clairement signalés et toujours bien visibles et éclairés ?</t>
  </si>
  <si>
    <t xml:space="preserve">CIR-013</t>
  </si>
  <si>
    <t xml:space="preserve">Les voies de circulation des piétons sont-elles bien éclairées ?</t>
  </si>
  <si>
    <t xml:space="preserve">CIR-014</t>
  </si>
  <si>
    <t xml:space="preserve">Existe-t-il des zones à risque de chute de plain-pied et/ou de glissade (zones encombrées, câbles qui traînent, déchets, liquides qui coulent, tiroirs près du sol mal fermés, etc.) ?</t>
  </si>
  <si>
    <t xml:space="preserve">CIR-015</t>
  </si>
  <si>
    <t xml:space="preserve">Y a-t-il des sols glissants, inégaux ou défectueux à l'intérieur de l'entreprise ?</t>
  </si>
  <si>
    <t xml:space="preserve">CIR-016</t>
  </si>
  <si>
    <t xml:space="preserve">Les ouvertures et les rigoles d'écoulement, les ouvertures dans les sols et autres creux similaires sont-ils recouverts jusqu'au niveau du sol et, si oui, ce recouvrement est-il antidérapant et stable ?</t>
  </si>
  <si>
    <t xml:space="preserve">CIR-017</t>
  </si>
  <si>
    <t xml:space="preserve">Existe-t-il des zones encombrées par l'entreposage d'objets divers (eau, huile, déchets, etc.) restent-ils sur le sol pendant le travail ?</t>
  </si>
  <si>
    <t xml:space="preserve">CIR-018</t>
  </si>
  <si>
    <t xml:space="preserve">Existe-t-il des zones recouvertes de tapis et autres couvre-planchers décollés ou mal ancrés ?</t>
  </si>
  <si>
    <t xml:space="preserve">CIR-019</t>
  </si>
  <si>
    <t xml:space="preserve">Existe-t-il des zones où les revêtements de sol (ou autres surfaces de marche) ont des degrés d'adhérence différents d'une endroit à l'autre ?</t>
  </si>
  <si>
    <t xml:space="preserve">CIR-020</t>
  </si>
  <si>
    <t xml:space="preserve">Lorsque par endroits un revêtement de sol est usé, entamé ou endommagé, répare-t-on ou renouvelle-t-on immédiatement ces parties du revêtement ?</t>
  </si>
  <si>
    <t xml:space="preserve">CIR-021</t>
  </si>
  <si>
    <t xml:space="preserve">Est-il facile de procéder à un nettoyage approfondi des sols ? Utilise-t-on des procédés et des produits de nettoyage appropriés qui ne diminuent pas les propriétés antidérapantes des sols ?</t>
  </si>
  <si>
    <t xml:space="preserve">CIR-022</t>
  </si>
  <si>
    <t xml:space="preserve">Des moyens de fortune sont-ils utilisés sur les voies de circulation des piétons (rampe mal arrimée ou bricolée, marche bancale, seuil provisoire, etc.) ?</t>
  </si>
  <si>
    <t xml:space="preserve">CIR-023</t>
  </si>
  <si>
    <t xml:space="preserve">Existe-t-il des zones encombrées par l'entreposage d'objets divers (matériel, palettes, caisses, cartons, chariots, etc.) ?</t>
  </si>
  <si>
    <t xml:space="preserve">CIR-024</t>
  </si>
  <si>
    <t xml:space="preserve">Existe-t-il des zones de circulation des piétons comprenant des parties en contrebas ou avec accès à des parties hautes ?</t>
  </si>
  <si>
    <t xml:space="preserve">CIR-025</t>
  </si>
  <si>
    <t xml:space="preserve">Y a-t-il un risque que, sur les voies de circulation des piétons, des marchandises (colis, caisses, cartons, etc.) mal entreposés puissent chuter sur des piétons ?</t>
  </si>
  <si>
    <t xml:space="preserve">CIR-026</t>
  </si>
  <si>
    <t xml:space="preserve">Existe-t-il des zones dangereuses (passage étroit ou longeant des zones dangereuses, dénivellation, circulation en hauteur, etc.) ?</t>
  </si>
  <si>
    <t xml:space="preserve">CIR-027</t>
  </si>
  <si>
    <t xml:space="preserve">Les zones dangereuses comportant des risques de chutes ou de glissades sont-elles équipées de balustrades ou de garde-corps, les sols sont-ils antidérapants ?</t>
  </si>
  <si>
    <t xml:space="preserve">CIR-028</t>
  </si>
  <si>
    <t xml:space="preserve">Les marches des escaliers sont-elles antidérapantes (revêtement caoutchouc, bandes antidérapantes, profils antidérapants, etc.) ?</t>
  </si>
  <si>
    <t xml:space="preserve">CIR-029</t>
  </si>
  <si>
    <t xml:space="preserve">Les escaliers extérieurs sont-ils sécurisés contre les risques de glissade (caillebotis, toit, marquise, etc.) ? Les sols sont-ils antidérapants ?</t>
  </si>
  <si>
    <t xml:space="preserve">CIR-030</t>
  </si>
  <si>
    <t xml:space="preserve">Tous les escaliers sont-ils équipés d'une main courante ou d'une balustrade ?</t>
  </si>
  <si>
    <t xml:space="preserve">CIR-031</t>
  </si>
  <si>
    <t xml:space="preserve">Les escaliers raides et les échelles-escaliers sont-ils équipés d'une main courante ou de balustrades des deux côtés ?</t>
  </si>
  <si>
    <t xml:space="preserve">CIR-032</t>
  </si>
  <si>
    <t xml:space="preserve">Les plateformes de travail ont-elles des accès stables et sûrs ?</t>
  </si>
  <si>
    <t xml:space="preserve">CIR-033</t>
  </si>
  <si>
    <t xml:space="preserve">Les endroits dangereux sont-ils clairement signalés (affichage, signalétique, etc.) ?</t>
  </si>
  <si>
    <t xml:space="preserve">CIR-034</t>
  </si>
  <si>
    <t xml:space="preserve">CIR-035</t>
  </si>
  <si>
    <t xml:space="preserve">Des travailleurs sont-ils amenés à descendre en sous-sol dans le cadre de leur travail (réserve, cave, parking, etc.) ?</t>
  </si>
  <si>
    <t xml:space="preserve">CIR-036</t>
  </si>
  <si>
    <t xml:space="preserve">Les voies d'accès en sous-sol sont-elles exemptes de tout danger (éclairage, signalisation, balustrade, sols antidérapants, voies dégagées, etc.) ?</t>
  </si>
  <si>
    <t xml:space="preserve">CIR-037</t>
  </si>
  <si>
    <t xml:space="preserve">Existe-t-il des passerelles et/ou des galeries surélevées sur les voies de circulation des piétons ?</t>
  </si>
  <si>
    <t xml:space="preserve">CIR-038</t>
  </si>
  <si>
    <t xml:space="preserve">Existe-t-il des zones en hauteur accessibles aux piétons (terrasses, balcons, toitures, etc.) ?</t>
  </si>
  <si>
    <t xml:space="preserve">CIR-039</t>
  </si>
  <si>
    <t xml:space="preserve">Les installations de transport fixes, les convoyeurs à bandes ou à rouleaux sont-ils équipés de passerelles sûres aux lieux de passage ?</t>
  </si>
  <si>
    <t xml:space="preserve">CIR-040</t>
  </si>
  <si>
    <t xml:space="preserve">Le personnel est-il sensibilisé aux risques de chutes et glissades pouvant se produire dans le cadre de leurs circulations dans l'entreprise ?</t>
  </si>
  <si>
    <t xml:space="preserve">CIR-041</t>
  </si>
  <si>
    <t xml:space="preserve">Existe-t-il des zones de circulation communes aux piétons et aux chargements et/ou déchargements de marchandises ?</t>
  </si>
  <si>
    <t xml:space="preserve">CIR-042</t>
  </si>
  <si>
    <t xml:space="preserve">Les zones de circulation communes aux piétons et aux chargements et/ou déchargements de marchandises sont-elles spécifiquement signalisées ?</t>
  </si>
  <si>
    <t xml:space="preserve">CIR-043</t>
  </si>
  <si>
    <t xml:space="preserve">Existe-t-il dans l'entreprise des échelles fixes utilisées par les travailleurs dans le cadre de leurs déplacements dans l'entreprise ?</t>
  </si>
  <si>
    <t xml:space="preserve">CIR-044</t>
  </si>
  <si>
    <t xml:space="preserve">Un dispositif ou une signalétique claire empêche-t-ils les personnes non autorisées d'accéder aux échelles fixes ?</t>
  </si>
  <si>
    <t xml:space="preserve">CIR-045</t>
  </si>
  <si>
    <t xml:space="preserve">Les échelles fixes (montants, échelons, éléments de fixation) sont-elles en parfait état ? Les échelons sont-ils antidérapants ?</t>
  </si>
  <si>
    <t xml:space="preserve">CIR-046</t>
  </si>
  <si>
    <t xml:space="preserve">Le personnel est-il formé à utiliser correctement les échelles fixes ?</t>
  </si>
  <si>
    <t xml:space="preserve">CIR-047</t>
  </si>
  <si>
    <t xml:space="preserve">Un responsable a-t-il été désigné et formé pour la maintenance et la sécurisation des voies de circulation des matériels de manutention et des zones de chargement ou déchargement ?</t>
  </si>
  <si>
    <t xml:space="preserve">CIR-048</t>
  </si>
  <si>
    <t xml:space="preserve">Les voies de circulation des matériels de manutention sont-elles bien dégagées pour permettre les mouvements en sécurité ? La visibilité sur les zones de circulation est-elle suffisante (sans angle mort, décrochement, etc.) ?</t>
  </si>
  <si>
    <t xml:space="preserve">CIR-049</t>
  </si>
  <si>
    <t xml:space="preserve">Le revêtement des zones (ou du quai de chargement) et des voies d'accès est-il en bon état et non glissant ?</t>
  </si>
  <si>
    <t xml:space="preserve">CIR-050</t>
  </si>
  <si>
    <t xml:space="preserve">Les voies de circulation et les zones réservées à l'entreposage sont-elles définies et, en cas d'ambiguïté, marquées au sol ?</t>
  </si>
  <si>
    <t xml:space="preserve">CIR-051</t>
  </si>
  <si>
    <t xml:space="preserve">Les voies de circulation et les zones de chargement ou déchargement sont-elles systématiquement et immédiatement débarrassées des objets et des matières présentant des risques de trébuchement, de chute ou de glissade ?</t>
  </si>
  <si>
    <t xml:space="preserve">CIR-052</t>
  </si>
  <si>
    <t xml:space="preserve">Existe-t-il des zones de manoeuvres dangereuses (zone étroite, angle mort, proximité d'une issue, etc.) utilisées pour la manutention de marchandises ?</t>
  </si>
  <si>
    <t xml:space="preserve">CIR-053</t>
  </si>
  <si>
    <t xml:space="preserve">Les zones de manoeuvres dangereuses sont-elles spécifiquement signalées ?</t>
  </si>
  <si>
    <t xml:space="preserve">CIR-054</t>
  </si>
  <si>
    <t xml:space="preserve">Les zones utilisées pour le chargement ou déchargement de marchandises au moyen d'un appareil de levage sont-elles conçues de manière sûre ? Tous les risques de collision, chute d'objets sont-ils maîtrisés ?</t>
  </si>
  <si>
    <t xml:space="preserve">CIR-055</t>
  </si>
  <si>
    <t xml:space="preserve">Les risques de chute, de glissade pour les personnes sont-ils éliminés sur les voies de circulation des matériels de manutention ?</t>
  </si>
  <si>
    <t xml:space="preserve">CIR-056</t>
  </si>
  <si>
    <t xml:space="preserve">Le personnel est-il formé pour utiliser correctement les dispositifs de sécurisation des zones de chargement ou déchargement ?</t>
  </si>
  <si>
    <t xml:space="preserve">CIR-057</t>
  </si>
  <si>
    <t xml:space="preserve">Le respect des règles de sécurité en vigueur sur les zones de manoeuvre et/ou de circulation est-il contrôlé régulièrement et imposé par l'encadrement ?</t>
  </si>
  <si>
    <t xml:space="preserve">CIR-058</t>
  </si>
  <si>
    <t xml:space="preserve">Tient-on compte, lors de l'achat de nouveaux dispositifs pour la manutention de marchandises, des règles de sécurité au travail ?</t>
  </si>
  <si>
    <t xml:space="preserve">CIR-059</t>
  </si>
  <si>
    <t xml:space="preserve">L'entreprise utilise-t-elle des plateformes élévatrices ?</t>
  </si>
  <si>
    <t xml:space="preserve">CIR-060</t>
  </si>
  <si>
    <t xml:space="preserve">Les commandes des plateformes élévatrices peuvent-elles être actionnées sans danger et sont-elles placées de façon à pouvoir observer tous les mouvements commandés ? Les organes de commandes sont-ils en bon état ?</t>
  </si>
  <si>
    <t xml:space="preserve">CIR-061</t>
  </si>
  <si>
    <t xml:space="preserve">CIR-062</t>
  </si>
  <si>
    <t xml:space="preserve">Les prescriptions d'utilisation et les consignes de sécurité sont-elles affichées à un emplacement bien visible des utilisateurs ?</t>
  </si>
  <si>
    <t xml:space="preserve">CIR-063</t>
  </si>
  <si>
    <t xml:space="preserve">CIR-064</t>
  </si>
  <si>
    <t xml:space="preserve">CIR-065</t>
  </si>
  <si>
    <t xml:space="preserve">Les zones de manoeuvre des engins motorisés de levage et/ou de manutention (chariots automoteurs de manutention à conducteur porté, chariot élévateur, transpalette, etc.) sont-elles adaptées à la largeur des voies de circulation et d'activité ?</t>
  </si>
  <si>
    <t xml:space="preserve">CIR-066</t>
  </si>
  <si>
    <t xml:space="preserve">Les zones d'activité des chariots élévateurs sont-elles correctement signalisées (marquage au sol, panneaux, affichage, etc.) ?</t>
  </si>
  <si>
    <t xml:space="preserve">CIR-067</t>
  </si>
  <si>
    <t xml:space="preserve">Les zones d'activité des chariots élévateurs sont-elles interdites d'accès aux piétons non autorisés ?</t>
  </si>
  <si>
    <t xml:space="preserve">CIR-068</t>
  </si>
  <si>
    <t xml:space="preserve">CIR-069</t>
  </si>
  <si>
    <t xml:space="preserve">CIR-070</t>
  </si>
  <si>
    <t xml:space="preserve">Les zones d'activité des ponts roulants, portiques ou semi-portiques à commande au sol sont-elles correctement signalisées (marquage au sol, panneaux, affichage, etc.) ?</t>
  </si>
  <si>
    <t xml:space="preserve">CIR-071</t>
  </si>
  <si>
    <t xml:space="preserve">Les zones d'activité des ponts roulants, portiques ou semi-portiques à commande au sol sont-elles interdites d'accès aux piétons non autorisés ?</t>
  </si>
  <si>
    <t xml:space="preserve">CIR-072</t>
  </si>
  <si>
    <t xml:space="preserve">Un responsable contrôle-t-il périodiquement les voies d'évacuation et ses dispositifs de sécurité (éclairage, portes coupe-feu, etc.) ?</t>
  </si>
  <si>
    <t xml:space="preserve">CIR-073</t>
  </si>
  <si>
    <t xml:space="preserve">Les instructions et les contrôles concernant les voies d'évacuation et les issues de secours sont-ils consignés ?</t>
  </si>
  <si>
    <t xml:space="preserve">CIR-074</t>
  </si>
  <si>
    <t xml:space="preserve">Le plan ou les plans d'évacuation sont-ils affichés aux endroits stratégiques ?</t>
  </si>
  <si>
    <t xml:space="preserve">CIR-075</t>
  </si>
  <si>
    <t xml:space="preserve">L'entreprise organise-t-elle des simulations d'évacuation d'urgence pour sensibiliser le personnel ?</t>
  </si>
  <si>
    <t xml:space="preserve">CIR-076</t>
  </si>
  <si>
    <t xml:space="preserve">Les chemins de fuite sont-ils fléchés clairement et équipés des signaux de signalisation prévus à cet effet ?</t>
  </si>
  <si>
    <t xml:space="preserve">CIR-077</t>
  </si>
  <si>
    <t xml:space="preserve">En cas de panne de courant, les chemins de fuite sont-ils facilement reconnaissables (signaux phosphorescents, éclairage de secours, etc.) ?</t>
  </si>
  <si>
    <t xml:space="preserve">CIR-078</t>
  </si>
  <si>
    <t xml:space="preserve">Les voies d'évacuation (chemins de fuite et portes) sont-elles dégagées et libres de tout obstacle ?</t>
  </si>
  <si>
    <t xml:space="preserve">CIR-079</t>
  </si>
  <si>
    <t xml:space="preserve">Les voies d'évacuation peuvent-elles être empruntées sans risque de chute pour les travailleurs (chaussée glissante, sol inégal, etc.) ?</t>
  </si>
  <si>
    <t xml:space="preserve">CIR-080</t>
  </si>
  <si>
    <t xml:space="preserve">Les portes se trouvant dans les voies de circulation et d'évacuation, les issues de secours (ou les portes coupe-feu) s'ouvrent-elles toujours rapidement, sans aide extérieure, sans clé, dans le sens de l'évacuation ?</t>
  </si>
  <si>
    <t xml:space="preserve">CIR-081</t>
  </si>
  <si>
    <t xml:space="preserve">Les personnes ont-elles la possibilité de fuir facilement depuis le sous-sol et/ou les étages (par exemple dans deux directions) en cas d'incendie ?</t>
  </si>
  <si>
    <t xml:space="preserve">CIR-082</t>
  </si>
  <si>
    <t xml:space="preserve">Les employés temporaires et les tiers intervenant dans votre entreprise sont-ils informés des règles à observer en cas d'évacuation d'urgence ?</t>
  </si>
  <si>
    <t xml:space="preserve">CIR-083</t>
  </si>
  <si>
    <t xml:space="preserve">Existe-t-il des voies ou zones de circulation communes aux véhicules routiers et aux piétons ?</t>
  </si>
  <si>
    <t xml:space="preserve">CIR-084</t>
  </si>
  <si>
    <t xml:space="preserve">Si votre structure le nécessite, un responsable est-il nommé pour organiser la circulation des travailleurs et des matériels au sein de l'entreprise ?</t>
  </si>
  <si>
    <t xml:space="preserve">CIR-085</t>
  </si>
  <si>
    <t xml:space="preserve">Existe-t-il une signalétique appropriée aux déplacements sur les voies de circulation des véhicules routiers au sein de l'entreprise ?</t>
  </si>
  <si>
    <t xml:space="preserve">CIR-086</t>
  </si>
  <si>
    <t xml:space="preserve">Les zones dangereuses (zones mixtes piétons/véhicules routiers, zones sans visibilité, etc.) sont-elles spécifiquement signalées ?</t>
  </si>
  <si>
    <t xml:space="preserve">CIR-087</t>
  </si>
  <si>
    <t xml:space="preserve">Pour les zones importantes, comprenant un réseau routier de plusieurs voies, existe-t-il un plan de circulation des véhicules routiers ?</t>
  </si>
  <si>
    <t xml:space="preserve">CIR-088</t>
  </si>
  <si>
    <t xml:space="preserve">Les travailleurs ont-ils connaissance du plan de circulation des véhicules routiers ?</t>
  </si>
  <si>
    <t xml:space="preserve">CIR-089</t>
  </si>
  <si>
    <t xml:space="preserve">L'entreprise fait-elle appel à des entreprises extérieures pour des interventions régulières ou occasionnelles au sein de l'entreprise (transporteurs, livreurs, maintenance, etc.) ?</t>
  </si>
  <si>
    <t xml:space="preserve">CIR-090</t>
  </si>
  <si>
    <t xml:space="preserve">Un protocole de sécurité a-t-il été conclu avec les entreprises extérieures qui interviennent au sein de l'entreprise (transporteurs, livreurs, maintenance, etc.) ?</t>
  </si>
  <si>
    <t xml:space="preserve">CIR-091</t>
  </si>
  <si>
    <t xml:space="preserve">Les travailleurs des entreprises extérieures qui sont amenés à intervenir dans l'entreprise sont-ils formés et informés, dès leur arrivée, des consignes de sécurité en vigueur dans l'entreprise ?</t>
  </si>
  <si>
    <t xml:space="preserve">ORGANISATION INTERNE DE L'ENTREPRISE</t>
  </si>
  <si>
    <t xml:space="preserve">Note RISC-4 (DUE 2024) : 15,60/20 — Établissement : Azur Park (Gassin) — Référentiel : audit sécurité des personnes</t>
  </si>
  <si>
    <t xml:space="preserve">ORG-001</t>
  </si>
  <si>
    <t xml:space="preserve">Les numéros d'urgence sont-ils affichés bien en vue dans l'entreprise ?</t>
  </si>
  <si>
    <t xml:space="preserve">ORG-002</t>
  </si>
  <si>
    <t xml:space="preserve">Les coordonnées de votre Service de Santé au Travail sont-elles affichées dans l'entreprise ?</t>
  </si>
  <si>
    <t xml:space="preserve">ORG-003</t>
  </si>
  <si>
    <t xml:space="preserve">Existe-t-il un panneau d'affichage à l'attention des travailleurs concernant la sécurité au travail (affiches et brochure du service de santé au travail, formations, noms du ou des responsables sécurité, consignes de sécurité...) ?</t>
  </si>
  <si>
    <t xml:space="preserve">ORG-004</t>
  </si>
  <si>
    <t xml:space="preserve">L'entreprise a-t-elle mis en place une formation spécifique pour les travailleurs illettrés, ou ne parlant pas le français, afin qu'ils puissent reconnaître les étiquettes, panneaux d'avertissement, etc. ?</t>
  </si>
  <si>
    <t xml:space="preserve">ORG-005</t>
  </si>
  <si>
    <t xml:space="preserve">L'entreprise veille-t-elle à ce que les travailleurs illettrés, ou ne parlant pas le français, reçoivent une formation spécifique sur les règles de sécurité et/ou d'utilisation des matériels ?</t>
  </si>
  <si>
    <t xml:space="preserve">ORG-006</t>
  </si>
  <si>
    <t xml:space="preserve">L'entreprise s'assure-t-elle que les connaissances des règles de sécurité des travailleurs illettrés, ou ne parlant pas le français, sont régulièrement actualisées ?</t>
  </si>
  <si>
    <t xml:space="preserve">ORG-007</t>
  </si>
  <si>
    <t xml:space="preserve">L'entreprise veille-t-elle à ce que les travailleurs handicapés reçoivent une formation spécifique sur les règles de sécurité et/ou d'utilisation des matériels adaptée à leur handicap ?</t>
  </si>
  <si>
    <t xml:space="preserve">ORG-008</t>
  </si>
  <si>
    <t xml:space="preserve">S'il existe des délégués ou représentants des travailleurs dans l'entreprise sont-ils sensibilisés au management des risques ?</t>
  </si>
  <si>
    <t xml:space="preserve">ORG-009</t>
  </si>
  <si>
    <t xml:space="preserve">Les partenaires hygiène-sécurité (CHSCT, SST, médecin du travail, délégués du personnel, etc.) de l'entreprise sont-ils connus nominativement et les informations les concernant (coordonnées) sont-elles affichées ?</t>
  </si>
  <si>
    <t xml:space="preserve">ORG-010</t>
  </si>
  <si>
    <t xml:space="preserve">Existe-t-il des échanges d'informations réguliers entre le médecin du travail et l'employeur ?</t>
  </si>
  <si>
    <t xml:space="preserve">ORG-011</t>
  </si>
  <si>
    <t xml:space="preserve">Le médecin du travail a-t-il établi la fiche d'entreprise relative aux risques professionnels ?</t>
  </si>
  <si>
    <t xml:space="preserve">ORG-012</t>
  </si>
  <si>
    <t xml:space="preserve">Existe-t-il un Registre Hygiène Sécurité dans lequel sont consignés les incidents, accidents, blessures, observations... survenus dans l'entreprise ?</t>
  </si>
  <si>
    <t xml:space="preserve">ORG-013</t>
  </si>
  <si>
    <t xml:space="preserve">Existe-t-il une ou plusieurs trousses de secours dans l'établissement ?</t>
  </si>
  <si>
    <t xml:space="preserve">ORG-014</t>
  </si>
  <si>
    <t xml:space="preserve">Les travailleurs sont-ils informés de l'existence et de l'emplacement de la ou les trousses de secours ?</t>
  </si>
  <si>
    <t xml:space="preserve">ORG-015</t>
  </si>
  <si>
    <t xml:space="preserve">La trousse de secours est-elle régulièrement contrôlée (réassortiment, date de péremption, etc.) ?</t>
  </si>
  <si>
    <t xml:space="preserve">ORG-016</t>
  </si>
  <si>
    <t xml:space="preserve">Existe-t-il une procédure globale d'alerte et d'évacuation des personnels en cas de danger (incendie, explosion, vapeurs toxiques, attentats, etc.) ?</t>
  </si>
  <si>
    <t xml:space="preserve">ORG-017</t>
  </si>
  <si>
    <t xml:space="preserve">Les travailleurs ont-ils connaissance de cette procédure ?</t>
  </si>
  <si>
    <t xml:space="preserve">ORG-018</t>
  </si>
  <si>
    <t xml:space="preserve">Les moyens d'alerte sont-ils adaptés (téléphone, système d'alarme sonore, etc.) ?</t>
  </si>
  <si>
    <t xml:space="preserve">ORG-019</t>
  </si>
  <si>
    <t xml:space="preserve">Les moyens d'alerte sont-ils bien visibles et à proximité des travailleurs ?</t>
  </si>
  <si>
    <t xml:space="preserve">ORG-020</t>
  </si>
  <si>
    <t xml:space="preserve">Les moyens d'alerte sont-ils régulièrement contrôlés et entretenus (téléphone, système d'alarme sonore, etc.) ?</t>
  </si>
  <si>
    <t xml:space="preserve">ORG-021</t>
  </si>
  <si>
    <t xml:space="preserve">Une procédure d'évacuation des blessés existe-t-elle et est-elle diffusée ?</t>
  </si>
  <si>
    <t xml:space="preserve">ORG-022</t>
  </si>
  <si>
    <t xml:space="preserve">Un ou des responsables sont-ils nommés pour prévenir les secours et organiser l'évacuation des travailleurs ?</t>
  </si>
  <si>
    <t xml:space="preserve">ORG-023</t>
  </si>
  <si>
    <t xml:space="preserve">S'il existe des sauveteurs secouristes du travail (SST) dans l'entreprise sont-ils connus des travailleurs ?</t>
  </si>
  <si>
    <t xml:space="preserve">ORG-024</t>
  </si>
  <si>
    <t xml:space="preserve">Des formations des travailleurs ont-elles été réalisées ou sont-elles planifiées sur la conduite à tenir en cas d'accident ?</t>
  </si>
  <si>
    <t xml:space="preserve">ORG-025</t>
  </si>
  <si>
    <t xml:space="preserve">Est-ce que votre entreprise est affectée par des nuisances extérieures (bruit à proximité, pollution atmosphérique, etc.) ?</t>
  </si>
  <si>
    <t xml:space="preserve">ORG-026</t>
  </si>
  <si>
    <t xml:space="preserve">Avez-vous des locaux ou des toitures construits en matériaux fragiles et/ou provisoires dans lesquels les travailleurs sont amenés à travailler ou circuler ?</t>
  </si>
  <si>
    <t xml:space="preserve">ORG-027</t>
  </si>
  <si>
    <t xml:space="preserve">Avez-vous des locaux ou des toitures construits en matériaux fragiles et/ou provisoires dans lesquels des produits dangereux (toxiques, inflammables, irritants, etc.) ou des produits d'entretien sont stockés ?</t>
  </si>
  <si>
    <t xml:space="preserve">ORG-028</t>
  </si>
  <si>
    <t xml:space="preserve">Les dispositions particulières pour sécuriser les interventions en hauteur sur le bâtiment et les équipements sont-elles prises (toiture, nettoyage des vitres, changement des luminaires, etc.) ?</t>
  </si>
  <si>
    <t xml:space="preserve">ORG-029</t>
  </si>
  <si>
    <t xml:space="preserve">Un diagnostique amiante a-t-il été réalisé ?</t>
  </si>
  <si>
    <t xml:space="preserve">ORG-030</t>
  </si>
  <si>
    <t xml:space="preserve">Suite au diagnostic amiante, les mesures réglementaires qui devaient être prises l'ont-elles été ?</t>
  </si>
  <si>
    <t xml:space="preserve">ORG-031</t>
  </si>
  <si>
    <t xml:space="preserve">Les locaux de l'entreprise sont-ils adaptés aux handicapés ?</t>
  </si>
  <si>
    <t xml:space="preserve">ORG-032</t>
  </si>
  <si>
    <t xml:space="preserve">Si les travailleurs quittent les locaux pour fumer à l'extérieur, leurs déplacements et leur stationnement à l'extérieur sont-ils faits en toute sécurité (prévention des risques de chutes, de heurts, etc.) ?</t>
  </si>
  <si>
    <t xml:space="preserve">ORG-033</t>
  </si>
  <si>
    <t xml:space="preserve">Existe-t-il des emplacements réservés aux fumeurs ?</t>
  </si>
  <si>
    <t xml:space="preserve">ORG-034</t>
  </si>
  <si>
    <t xml:space="preserve">Le local fumeurs est-il conforme à la législation en vigueur (débit d'air, ventilation...) ?</t>
  </si>
  <si>
    <t xml:space="preserve">ORG-035</t>
  </si>
  <si>
    <t xml:space="preserve">Mettez-vous en oeuvre des campagnes d'information antitabac à l'usage des travailleurs au sein de votre entreprise ?</t>
  </si>
  <si>
    <t xml:space="preserve">ORG-036</t>
  </si>
  <si>
    <t xml:space="preserve">L'employeur (l'encadrement, les responsables sécurité, le CHSCT, etc.) font-ils des inspections sécurité régulières de l'entreprise (hygiène, sécurité, port des EPI, installations électriques, appareils de levage, appareils à pression, etc.) ?</t>
  </si>
  <si>
    <t xml:space="preserve">ORG-037</t>
  </si>
  <si>
    <t xml:space="preserve">Existe-t-il une procédure définissant qui, quoi et comment sont géré l'évacuation des déchets ?</t>
  </si>
  <si>
    <t xml:space="preserve">ORG-038</t>
  </si>
  <si>
    <t xml:space="preserve">Des équipements de protection individuelle EPI (blouse, combinaison, tablier, bleu, casque, chaussures, gants, lunettes de protection, bouchons d'oreilles, masque respiratoire, etc.) sont-ils nécessaires dans le cadre de l'activité de l'entreprise ou de certaines unités ?</t>
  </si>
  <si>
    <t xml:space="preserve">ORG-039</t>
  </si>
  <si>
    <t xml:space="preserve">Les EPI (blouse, bleu, casque, chaussures, gants, lunettes de protection, bouchons d'oreilles, masque respiratoire, etc.) sont-ils mis à la disposition de tous les travailleurs concernés ?</t>
  </si>
  <si>
    <t xml:space="preserve">ORG-040</t>
  </si>
  <si>
    <t xml:space="preserve">Les EPI utilisés dans l'entreprise sont-ils conformes aux normes en vigueur ?</t>
  </si>
  <si>
    <t xml:space="preserve">ORG-041</t>
  </si>
  <si>
    <t xml:space="preserve">Les EPI sont-ils attribués de manière personnelle aux travailleurs ?</t>
  </si>
  <si>
    <t xml:space="preserve">ORG-042</t>
  </si>
  <si>
    <t xml:space="preserve">L'entreprise tient-elle à jour une liste des EPI remis au personnel ainsi que leur obsolescence ?</t>
  </si>
  <si>
    <t xml:space="preserve">ORG-043</t>
  </si>
  <si>
    <t xml:space="preserve">L'encadrement contrôle-t-il régulièrement que les EPI sont systématiquement utilisés par les travailleurs concernés ?</t>
  </si>
  <si>
    <t xml:space="preserve">ORG-044</t>
  </si>
  <si>
    <t xml:space="preserve">Les besoins en EPI sont-ils évalués en collaboration avec les travailleurs concernés, les partenaires en santé au travail et/ou le CHSCT ?</t>
  </si>
  <si>
    <t xml:space="preserve">ORG-045</t>
  </si>
  <si>
    <t xml:space="preserve">L'entreprise se rapproche-t-elle de ses fournisseurs d'équipements de sécurité afin d'étudier les offres disponibles et les équipements les mieux adaptés aux risques rencontrés dans l'entreprise ?</t>
  </si>
  <si>
    <t xml:space="preserve">ORG-046</t>
  </si>
  <si>
    <t xml:space="preserve">L'entreprise a-t-elle explicitement informé les travailleurs concernés du caractère obligatoire du port des équipements de protection individuel (règlement intérieur, affichage, note interne, etc.) et clairement affiché les règles en vigueur les concernant ?</t>
  </si>
  <si>
    <t xml:space="preserve">ORG-047</t>
  </si>
  <si>
    <t xml:space="preserve">Les postes de travail exigeant le port d'EPI sont-ils équipés des panneaux de sécurité correspondants ?</t>
  </si>
  <si>
    <t xml:space="preserve">ORG-048</t>
  </si>
  <si>
    <t xml:space="preserve">Les EPI nécessaires et les consignes sur leur emploi sont-ils remis aux nouveaux collaborateurs lors de leur prise de fonction ?</t>
  </si>
  <si>
    <t xml:space="preserve">ORG-049</t>
  </si>
  <si>
    <t xml:space="preserve">Les travailleurs intérimaires sont-ils formés et informés dès leur arrivée sur le port des EPI et les consignes générales de sécurité en vigueur dans l'entreprise ?</t>
  </si>
  <si>
    <t xml:space="preserve">ORG-050</t>
  </si>
  <si>
    <t xml:space="preserve">Les travailleurs exposés sont-ils informés et formés sur l’utilisation, l'entretien et l'entreposage des EPI ?</t>
  </si>
  <si>
    <t xml:space="preserve">ORG-051</t>
  </si>
  <si>
    <t xml:space="preserve">Les connaissances des travailleurs formés sur le port des EPI sont-elles régulièrement actualisées ?</t>
  </si>
  <si>
    <t xml:space="preserve">ORG-052</t>
  </si>
  <si>
    <t xml:space="preserve">Il y a-t-il un nombre suffisant d'EPI en stock ?</t>
  </si>
  <si>
    <t xml:space="preserve">ORG-053</t>
  </si>
  <si>
    <t xml:space="preserve">Un responsable est-il nommé pour contrôler les EPI en stock, leur entretien et leur entreposage ?</t>
  </si>
  <si>
    <t xml:space="preserve">ORG-054</t>
  </si>
  <si>
    <t xml:space="preserve">L'encadrement s’assure-il que les EPI sont correctement entretenus et entreposés ?</t>
  </si>
  <si>
    <t xml:space="preserve">ORG-055</t>
  </si>
  <si>
    <t xml:space="preserve">Les EPI mis à la disposition des travailleurs sont-ils systématiquement et régulièrement contrôlés ?</t>
  </si>
  <si>
    <t xml:space="preserve">ORG-056</t>
  </si>
  <si>
    <t xml:space="preserve">Les stocks d'EPI sont-ils régulièrement contrôlés afin de supprimer les matériels défectueux ou périmés ?</t>
  </si>
  <si>
    <t xml:space="preserve">ORG-057</t>
  </si>
  <si>
    <t xml:space="preserve">Les EPI sont-ils accessibles et disponibles partout où ils sont nécessaires ?</t>
  </si>
  <si>
    <t xml:space="preserve">ORG-058</t>
  </si>
  <si>
    <t xml:space="preserve">L'entreprise met-elle systématiquement les EPI nécessaires à la disposition des visiteurs et/ou des intervenants extérieurs ?</t>
  </si>
  <si>
    <t xml:space="preserve">ORG-059</t>
  </si>
  <si>
    <t xml:space="preserve">L'employeur fait-il régulièrement le point avec l'encadrement sur le port des EPI par les travailleurs ?</t>
  </si>
  <si>
    <t xml:space="preserve">ORG-060</t>
  </si>
  <si>
    <t xml:space="preserve">L'employeur s'assure-t-il que les EPI à usage unique ne sont bien utilisés une seule fois ?</t>
  </si>
  <si>
    <t xml:space="preserve">ORG-061</t>
  </si>
  <si>
    <t xml:space="preserve">ORG-062</t>
  </si>
  <si>
    <t xml:space="preserve">Existe-t-il des zones de travail très sales et/ou très poussiéreuses ?</t>
  </si>
  <si>
    <t xml:space="preserve">ORG-063</t>
  </si>
  <si>
    <t xml:space="preserve">Existe-t-il des locaux insalubres dans l'entreprise ?</t>
  </si>
  <si>
    <t xml:space="preserve">ORG-064</t>
  </si>
  <si>
    <t xml:space="preserve">Des travailleurs travaillent-ils dans ces locaux insalubres ?</t>
  </si>
  <si>
    <t xml:space="preserve">ORG-065</t>
  </si>
  <si>
    <t xml:space="preserve">Existe-t-il des zones dans l'entreprise qui ne sont jamais nettoyées ?</t>
  </si>
  <si>
    <t xml:space="preserve">ORG-066</t>
  </si>
  <si>
    <t xml:space="preserve">L'employeur s'assure-t-il que les locaux et les zones de circulation dans lesquels travaillent les travailleurs sont nettoyés périodiquement ?</t>
  </si>
  <si>
    <t xml:space="preserve">ORG-067</t>
  </si>
  <si>
    <t xml:space="preserve">Existe dans l'entreprise des activités très salissantes pour la peau ?</t>
  </si>
  <si>
    <t xml:space="preserve">ORG-068</t>
  </si>
  <si>
    <t xml:space="preserve">Les travailleurs disposent-ils de sanitaires (points de lavage, douches, toilettes, etc.) en nombre suffisant et ont-ils à disposition des produits de lavage efficaces et adaptés ?</t>
  </si>
  <si>
    <t xml:space="preserve">ORG-069</t>
  </si>
  <si>
    <t xml:space="preserve">Les locaux de lavage des mains et les sanitaires disposent-ils des installations appropriées et sont-ils régulièrement entretenus par le personnel compétent ?</t>
  </si>
  <si>
    <t xml:space="preserve">ORG-070</t>
  </si>
  <si>
    <t xml:space="preserve">Le respect des prescriptions en vigueur en matière de protection de la peau et d’hygiène est-il encouragé par l'employeur ?</t>
  </si>
  <si>
    <t xml:space="preserve">ORG-071</t>
  </si>
  <si>
    <t xml:space="preserve">Existe-t-il dans l'entreprise une personne formée aux secours au sens large, à l’hygiène et aux problèmes de protection de la peau (procédure de lavage des mains par exemple) ?</t>
  </si>
  <si>
    <t xml:space="preserve">ORG-072</t>
  </si>
  <si>
    <t xml:space="preserve">Le règlement intérieur de l'entreprise reprend-t-il les articles de lois faisant référence aux faits de violences au travail (racisme, violence physique et verbale, harcèlement moral et sexuel) ?</t>
  </si>
  <si>
    <t xml:space="preserve">ORG-073</t>
  </si>
  <si>
    <t xml:space="preserve">Avez-vous pris les mesures nécessaires et mis en place une politique d'information et/ou de formation et d'enregistrement à destination des travailleurs sur la violence au travail ?</t>
  </si>
  <si>
    <t xml:space="preserve">ORG-074</t>
  </si>
  <si>
    <t xml:space="preserve">Avez-vous pris les mesures nécessaires et mis en place une politique d'information, de formation et d'enregistrement à destination des travailleurs sur le harcèlement moral ?</t>
  </si>
  <si>
    <t xml:space="preserve">ORG-075</t>
  </si>
  <si>
    <t xml:space="preserve">Avez-vous pris les mesures nécessaires et mis en place une politique d'information, de formation et d'enregistrement à destination des travailleurs sur le harcèlement sexuel ?</t>
  </si>
  <si>
    <t xml:space="preserve">ORG-076</t>
  </si>
  <si>
    <t xml:space="preserve">Avez-vous pris les mesures nécessaires et mis en place une politique d'information, de formation et d'enregistrement à destination du personnel d'encadrement et des travailleurs sur le racisme ?</t>
  </si>
  <si>
    <t xml:space="preserve">ORG-077</t>
  </si>
  <si>
    <t xml:space="preserve">Le règlement intérieur de l'entreprise interdit-il explicitement la consommation d'alcool sur le lieu de travail ?</t>
  </si>
  <si>
    <t xml:space="preserve">ORG-078</t>
  </si>
  <si>
    <t xml:space="preserve">Le règlement intérieur de l'entreprise interdit-il explicitement la consommation de cannabis et de drogues sur le lieu de travail ?</t>
  </si>
  <si>
    <t xml:space="preserve">ORG-079</t>
  </si>
  <si>
    <t xml:space="preserve">L'entreprise organise-t-elle des campagnes de sensibilisation sur les dangers courus par l'utilisation de psychotropes pendant le travail ?</t>
  </si>
  <si>
    <t xml:space="preserve">ORG-080</t>
  </si>
  <si>
    <t xml:space="preserve">Les travailleurs ont-ils été informés du règlement sur la consommation de substances engendrant la dépendance (alcool, cannabis, drogues) et de sa justification ?</t>
  </si>
  <si>
    <t xml:space="preserve">ORG-081</t>
  </si>
  <si>
    <t xml:space="preserve">Le respect du règlement sur la consommation de substances engendrant la dépendance (alcool, cannabis, drogues) est-il régulièrement contrôlé par l'encadrement ?</t>
  </si>
  <si>
    <t xml:space="preserve">ORG-082</t>
  </si>
  <si>
    <t xml:space="preserve">L'encadrement est-il informé, a-t-il des consignes et connaît-il le comportement à adopter avec les personnes dépendantes (alcool, cannabis, drogues) ?</t>
  </si>
  <si>
    <t xml:space="preserve">ORG-083</t>
  </si>
  <si>
    <t xml:space="preserve">Un protocole de sécurité a-t-il été conclu avec les entreprises extérieures qui interviennent au sein de l'entreprise (transporteurs, livreurs, maintenance, entreprises de travail temporaire, prestataires extérieurs, etc.) ?</t>
  </si>
  <si>
    <t xml:space="preserve">ORG-084</t>
  </si>
  <si>
    <t xml:space="preserve">Une information générale (règlement intérieur, sécurité, circulation dans l'entreprise, port des EPI, etc.) est-elle dispensée dès l'arrivée des travailleurs intérimaires ?</t>
  </si>
  <si>
    <t xml:space="preserve">ORG-085</t>
  </si>
  <si>
    <t xml:space="preserve">Fait-on visiter l'entreprise aux travailleurs intérimaires ?</t>
  </si>
  <si>
    <t xml:space="preserve">ORG-086</t>
  </si>
  <si>
    <t xml:space="preserve">Les travailleurs intérimaires reçoivent-ils le règlement intérieur de l'entreprise dès leur arrivée ?</t>
  </si>
  <si>
    <t xml:space="preserve">ORG-087</t>
  </si>
  <si>
    <t xml:space="preserve">Existe-t-il un programme spécifique de formation pour les travailleurs intérimaires ?</t>
  </si>
  <si>
    <t xml:space="preserve">ORG-088</t>
  </si>
  <si>
    <t xml:space="preserve">Avant toute prise de poste, Les travailleurs intérimaires sont-ils formés aux risques du poste qu'ils vont occuper ?</t>
  </si>
  <si>
    <t xml:space="preserve">ORG-089</t>
  </si>
  <si>
    <t xml:space="preserve">Une fiche descriptive des risques propres à l'entreprise et aux postes occupés par les travailleurs intérimaires est-elle envoyée à l'agence de travail temporaire ?</t>
  </si>
  <si>
    <t xml:space="preserve">ORG-090</t>
  </si>
  <si>
    <t xml:space="preserve">Les travailleurs intérimaires occupent-ils des postes de travail présentant des risques particuliers ?</t>
  </si>
  <si>
    <t xml:space="preserve">ORG-091</t>
  </si>
  <si>
    <t xml:space="preserve">Les EPI nécessaires au poste de travail des travailleurs intérimaires sont-ils fournis dès leur arrivée ?</t>
  </si>
  <si>
    <t xml:space="preserve">ORG-092</t>
  </si>
  <si>
    <t xml:space="preserve">Les postes à risques occupés par des travailleurs intérimaires bénéficient-ils d'une formation renforcée la sécurité ?</t>
  </si>
  <si>
    <t xml:space="preserve">ORG-093</t>
  </si>
  <si>
    <t xml:space="preserve">L'encadrement contrôle-t-il que la formation aux postes de travail et à la sécurité est adaptée aux facultés de compréhension, aux capacités linguistiques (travailleurs illettrés ou étrangers notamment) et/ou à la capacité de mémorisation des travailleurs intérimaires?</t>
  </si>
  <si>
    <t xml:space="preserve">ORG-094</t>
  </si>
  <si>
    <t xml:space="preserve">Laisse t-on suffisamment de temps aux travailleurs intérimaires pour intégrer toutes les informations concernant leur poste de travail ?</t>
  </si>
  <si>
    <t xml:space="preserve">ORG-095</t>
  </si>
  <si>
    <t xml:space="preserve">L'encadrement contrôle-t-il si les connaissances acquises par Les travailleurs intérimaires (utilisation des matériels, port des EPI, règles de sécurité, etc.) sont bien mises en pratique ?</t>
  </si>
  <si>
    <t xml:space="preserve">ORG-096</t>
  </si>
  <si>
    <t xml:space="preserve">La vérification des permis de conduire, CACES (Certificat d'Aptitude à la Conduite En Sécurité), habilitations, etc. des travailleurs intérimaires est-elle systématique ?</t>
  </si>
  <si>
    <t xml:space="preserve">ORG-097</t>
  </si>
  <si>
    <t xml:space="preserve">Les autorisations de conduite des travailleurs intérimaires concernant l'utilisation des équipements de travail mobiles sont-elles systématiquement délivrées ?</t>
  </si>
  <si>
    <t xml:space="preserve">ORG-098</t>
  </si>
  <si>
    <t xml:space="preserve">L'entreprise emploie-t-elle travailleurs nomades (commerciaux, technicien de maintenance, chauffeur-livreur, etc.) ?</t>
  </si>
  <si>
    <t xml:space="preserve">ORG-099</t>
  </si>
  <si>
    <t xml:space="preserve">Les travailleurs nomades (commerciaux, technicien de maintenance, chauffeur-livreur, etc.) sont-ils formés à la gestion des risques propres à leur activité ?</t>
  </si>
  <si>
    <t xml:space="preserve">ORG-100</t>
  </si>
  <si>
    <t xml:space="preserve">Certains travailleurs travaillent-ils sur des unités géographiques différentes dans la journée et/ou la semaine ?</t>
  </si>
  <si>
    <t xml:space="preserve">ORG-101</t>
  </si>
  <si>
    <t xml:space="preserve">Certains travailleurs travaillent-ils sur des postes de travail différents dans la journée et/ou la semaine ?</t>
  </si>
  <si>
    <t xml:space="preserve">ORG-102</t>
  </si>
  <si>
    <t xml:space="preserve">Il y a-t-il des travailleurs dont l'activité principale est de remplacer des travailleurs absents ?</t>
  </si>
  <si>
    <t xml:space="preserve">ORG-103</t>
  </si>
  <si>
    <t xml:space="preserve">Il y a-t-il des travailleurs qui voyagent très souvent (plus de 2 fois par mois) par avion et/ou train ?</t>
  </si>
  <si>
    <t xml:space="preserve">ORG-104</t>
  </si>
  <si>
    <t xml:space="preserve">Les télétravailleurs sont-ils formés à la gestion des risques propres à leur activité ?</t>
  </si>
  <si>
    <t xml:space="preserve">ORG-105</t>
  </si>
  <si>
    <t xml:space="preserve">Une information générale (règlement intérieur, sécurité, circulation dans l'entreprise, port des EPI, etc.) est-elle dispensée dès l'arrivée des nouveaux travailleurs ?</t>
  </si>
  <si>
    <t xml:space="preserve">ORG-106</t>
  </si>
  <si>
    <t xml:space="preserve">Fait-on visiter l'entreprise aux nouveaux travailleurs ?</t>
  </si>
  <si>
    <t xml:space="preserve">ORG-107</t>
  </si>
  <si>
    <t xml:space="preserve">Les nouveaux travailleurs reçoivent-ils le règlement intérieur de l'entreprise dès leur arrivée ?</t>
  </si>
  <si>
    <t xml:space="preserve">ORG-108</t>
  </si>
  <si>
    <t xml:space="preserve">Existe-t-il un programme spécifique de formation pour les nouveaux travailleurs ?</t>
  </si>
  <si>
    <t xml:space="preserve">ORG-109</t>
  </si>
  <si>
    <t xml:space="preserve">Avant toute prise de poste, les nouveaux travailleurs sont-ils formés aux risques du poste qu'ils vont occuper ?</t>
  </si>
  <si>
    <t xml:space="preserve">ORG-110</t>
  </si>
  <si>
    <t xml:space="preserve">Des nouveaux travailleurs occupent-ils des postes de travail présentant des risques particuliers ?</t>
  </si>
  <si>
    <t xml:space="preserve">ORG-111</t>
  </si>
  <si>
    <t xml:space="preserve">Les EPI nécessaires au poste de travail des nouveaux travailleurs sont-ils fournis dès leur arrivée ?</t>
  </si>
  <si>
    <t xml:space="preserve">ORG-112</t>
  </si>
  <si>
    <t xml:space="preserve">Les postes à risques occupés par des nouveaux travailleurs bénéficient-ils d'une formation renforcée la sécurité ?</t>
  </si>
  <si>
    <t xml:space="preserve">ORG-113</t>
  </si>
  <si>
    <t xml:space="preserve">L'encadrement contrôle-t-il que la formation aux postes de travail et à la sécurité est adaptée aux facultés de compréhension, aux capacités linguistiques (travailleurs illettrés ou étrangers notamment) et/ou à la capacité de mémorisation des nouveaux travailleurs ?</t>
  </si>
  <si>
    <t xml:space="preserve">ORG-114</t>
  </si>
  <si>
    <t xml:space="preserve">L'encadrement contrôle-t-il si les connaissances acquises par les nouveaux travailleurs (utilisation des matériels, port des EPI, règles de sécurité, etc.) sont bien mises en pratique ?</t>
  </si>
  <si>
    <t xml:space="preserve">ORG-115</t>
  </si>
  <si>
    <t xml:space="preserve">La vérification des permis de conduire, CACES (Certificat d'Aptitude à la Conduite En Sécurité), habilitations, etc. des nouveaux travailleurs est-elle systématique ?</t>
  </si>
  <si>
    <t xml:space="preserve">ORG-116</t>
  </si>
  <si>
    <t xml:space="preserve">Les autorisations de conduite des nouveaux travailleurs concernant l'utilisation des équipements de travail mobiles sont-elles systématiquement délivrées ?</t>
  </si>
  <si>
    <t xml:space="preserve">ORG-117</t>
  </si>
  <si>
    <t xml:space="preserve">L'entreprise emploie-t-elle des jeunes travailleurs (ou apprentis) de moins de 18 ans ?</t>
  </si>
  <si>
    <t xml:space="preserve">ORG-118</t>
  </si>
  <si>
    <t xml:space="preserve">Des jeunes travailleurs (ou apprentis) de moins de 18 ans travaillent-ils plus de 4 h 30 consécutives ?</t>
  </si>
  <si>
    <t xml:space="preserve">ORG-119</t>
  </si>
  <si>
    <t xml:space="preserve">Des jeunes travailleurs (ou apprentis) de moins de 18 ans sont-ils exposés à des travaux dangereux ?</t>
  </si>
  <si>
    <t xml:space="preserve">ORG-120</t>
  </si>
  <si>
    <t xml:space="preserve">Un responsable a-t-il été désigné pour informer les jeunes et/ou les jeunes de moins de 18 ans, les former sur les consignes de sécurité ?</t>
  </si>
  <si>
    <t xml:space="preserve">ORG-121</t>
  </si>
  <si>
    <t xml:space="preserve">L'employeur a-t-il mis en place une procédure de tutorat destinées aux jeunes et/ou aux jeunes de moins de 18 ans (information et formation, parrain, tuteur, etc.) ?</t>
  </si>
  <si>
    <t xml:space="preserve">ORG-122</t>
  </si>
  <si>
    <t xml:space="preserve">Les jeunes et/ou les jeunes de moins de 18 ans sont-ils présentés personnellement à leurs supérieurs, à leurs collègues de travail et aux personnes chargées de la sécurité au travail ?</t>
  </si>
  <si>
    <t xml:space="preserve">ORG-123</t>
  </si>
  <si>
    <t xml:space="preserve">L'employeur a-t-il mis en place des campagnes de sensibilisation spécifiquement destinées aux jeunes et/ou aux jeunes de moins de 18 ans ?</t>
  </si>
  <si>
    <t xml:space="preserve">ORG-124</t>
  </si>
  <si>
    <t xml:space="preserve">L'employeur a-t-il prévu une évaluation des risques et la mise en place de mesures adaptées concernant le travail des jeunes et/ou des jeunes de moins de 18 ans ?</t>
  </si>
  <si>
    <t xml:space="preserve">ORG-125</t>
  </si>
  <si>
    <t xml:space="preserve">Les jeunes et/ou les jeunes de moins de 18 ans bénéficient-ils d'une protection renforcée (aide dans le travail, maître de stage, conseils de prévention, etc.) ?</t>
  </si>
  <si>
    <t xml:space="preserve">ORG-126</t>
  </si>
  <si>
    <t xml:space="preserve">D'une manière générale, l'employeur incite-t-il les travailleurs à signaler immédiatement à l'encadrement tout risque, dysfonctionnement, anomalie, etc. dont ils pourraient avoir connaissance ?</t>
  </si>
  <si>
    <t xml:space="preserve">ORG-127</t>
  </si>
  <si>
    <t xml:space="preserve">L'employeur encourage-t-il le dialogue sur la sécurité dans l'entreprise entre l'encadrement et les travailleurs ?</t>
  </si>
  <si>
    <t xml:space="preserve">ORG-128</t>
  </si>
  <si>
    <t xml:space="preserve">L'employeur organise-t-il des réunions sur la sécurité dans l'entreprise avec le personnel d'encadrement et les travailleurs (comité de sécurité, auto-contrôle des travailleurs, travailleurs ''tuteurs'', etc.) ?</t>
  </si>
</sst>
</file>

<file path=xl/styles.xml><?xml version="1.0" encoding="utf-8"?>
<styleSheet xmlns="http://schemas.openxmlformats.org/spreadsheetml/2006/main">
  <numFmts count="4">
    <numFmt numFmtId="164" formatCode="General"/>
    <numFmt numFmtId="165" formatCode="0.0%;\-0.0%;\-"/>
    <numFmt numFmtId="166" formatCode="0"/>
    <numFmt numFmtId="167" formatCode="0.0%"/>
  </numFmts>
  <fonts count="19">
    <font>
      <sz val="11"/>
      <color theme="1"/>
      <name val="Calibri"/>
      <family val="2"/>
      <charset val="1"/>
    </font>
    <font>
      <sz val="10"/>
      <name val="Arial"/>
      <family val="0"/>
    </font>
    <font>
      <sz val="10"/>
      <name val="Arial"/>
      <family val="0"/>
    </font>
    <font>
      <sz val="10"/>
      <name val="Arial"/>
      <family val="0"/>
    </font>
    <font>
      <b val="true"/>
      <sz val="20"/>
      <color rgb="FF1F3864"/>
      <name val="Calibri"/>
      <family val="0"/>
      <charset val="1"/>
    </font>
    <font>
      <i val="true"/>
      <sz val="12"/>
      <color rgb="FF2E75B6"/>
      <name val="Calibri"/>
      <family val="0"/>
      <charset val="1"/>
    </font>
    <font>
      <b val="true"/>
      <sz val="11"/>
      <color rgb="FFFFFFFF"/>
      <name val="Calibri"/>
      <family val="0"/>
      <charset val="1"/>
    </font>
    <font>
      <sz val="11"/>
      <name val="Calibri"/>
      <family val="0"/>
      <charset val="1"/>
    </font>
    <font>
      <b val="true"/>
      <sz val="14"/>
      <color rgb="FF1F3864"/>
      <name val="Calibri"/>
      <family val="0"/>
      <charset val="1"/>
    </font>
    <font>
      <b val="true"/>
      <sz val="11"/>
      <color rgb="FF1F3864"/>
      <name val="Calibri"/>
      <family val="0"/>
      <charset val="1"/>
    </font>
    <font>
      <b val="true"/>
      <sz val="11"/>
      <name val="Calibri"/>
      <family val="0"/>
      <charset val="1"/>
    </font>
    <font>
      <b val="true"/>
      <sz val="18"/>
      <color rgb="FFFFFFFF"/>
      <name val="Calibri"/>
      <family val="0"/>
      <charset val="1"/>
    </font>
    <font>
      <i val="true"/>
      <sz val="10"/>
      <color rgb="FF2E75B6"/>
      <name val="Calibri"/>
      <family val="0"/>
      <charset val="1"/>
    </font>
    <font>
      <b val="true"/>
      <sz val="11"/>
      <color rgb="FF2E75B6"/>
      <name val="Calibri"/>
      <family val="0"/>
      <charset val="1"/>
    </font>
    <font>
      <b val="true"/>
      <sz val="12"/>
      <color rgb="FFFFFFFF"/>
      <name val="Calibri"/>
      <family val="0"/>
      <charset val="1"/>
    </font>
    <font>
      <b val="true"/>
      <sz val="16"/>
      <color rgb="FFFFFFFF"/>
      <name val="Calibri"/>
      <family val="0"/>
      <charset val="1"/>
    </font>
    <font>
      <b val="true"/>
      <sz val="10"/>
      <name val="Calibri"/>
      <family val="0"/>
      <charset val="1"/>
    </font>
    <font>
      <b val="true"/>
      <sz val="10"/>
      <color rgb="FF1F3864"/>
      <name val="Calibri"/>
      <family val="0"/>
      <charset val="1"/>
    </font>
    <font>
      <sz val="10"/>
      <name val="Calibri"/>
      <family val="0"/>
      <charset val="1"/>
    </font>
  </fonts>
  <fills count="9">
    <fill>
      <patternFill patternType="none"/>
    </fill>
    <fill>
      <patternFill patternType="gray125"/>
    </fill>
    <fill>
      <patternFill patternType="solid">
        <fgColor rgb="FF1F3864"/>
        <bgColor rgb="FF333333"/>
      </patternFill>
    </fill>
    <fill>
      <patternFill patternType="solid">
        <fgColor rgb="FFF2F2F2"/>
        <bgColor rgb="FFDEEBF7"/>
      </patternFill>
    </fill>
    <fill>
      <patternFill patternType="solid">
        <fgColor rgb="FFFFFFFF"/>
        <bgColor rgb="FFF2F2F2"/>
      </patternFill>
    </fill>
    <fill>
      <patternFill patternType="solid">
        <fgColor rgb="FFC6EFCE"/>
        <bgColor rgb="FFDEEBF7"/>
      </patternFill>
    </fill>
    <fill>
      <patternFill patternType="solid">
        <fgColor rgb="FFFFC7CE"/>
        <bgColor rgb="FFFFEB9C"/>
      </patternFill>
    </fill>
    <fill>
      <patternFill patternType="solid">
        <fgColor rgb="FFFFEB9C"/>
        <bgColor rgb="FFFFF2CC"/>
      </patternFill>
    </fill>
    <fill>
      <patternFill patternType="solid">
        <fgColor rgb="FFDEEBF7"/>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2" fillId="8"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1"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1"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left" vertical="center" textRotation="0" wrapText="false" indent="1" shrinkToFit="false"/>
      <protection locked="true" hidden="false"/>
    </xf>
    <xf numFmtId="165" fontId="14" fillId="2"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general" vertical="center" textRotation="0" wrapText="false" indent="1"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1"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Calibri"/>
        <charset val="1"/>
        <family val="0"/>
        <b val="1"/>
        <color rgb="FF006100"/>
        <sz val="11"/>
      </font>
      <fill>
        <patternFill>
          <bgColor rgb="FFC6EFCE"/>
        </patternFill>
      </fill>
    </dxf>
    <dxf>
      <font>
        <name val="Calibri"/>
        <charset val="1"/>
        <family val="0"/>
        <b val="1"/>
        <sz val="11"/>
      </font>
      <fill>
        <patternFill>
          <bgColor rgb="FFFFF2CC"/>
        </patternFill>
      </fill>
    </dxf>
    <dxf>
      <font>
        <name val="Calibri"/>
        <charset val="1"/>
        <family val="0"/>
        <b val="1"/>
        <color rgb="FF9C0006"/>
        <sz val="11"/>
      </font>
      <fill>
        <patternFill>
          <bgColor rgb="FFFFC7CE"/>
        </patternFill>
      </fill>
    </dxf>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ont>
        <name val="Calibri"/>
        <charset val="1"/>
        <family val="0"/>
        <b val="1"/>
        <sz val="10"/>
      </font>
      <fill>
        <patternFill>
          <bgColor rgb="FFC6EFCE"/>
        </patternFill>
      </fill>
    </dxf>
    <dxf>
      <font>
        <name val="Calibri"/>
        <charset val="1"/>
        <family val="0"/>
        <b val="1"/>
        <sz val="10"/>
      </font>
      <fill>
        <patternFill>
          <bgColor rgb="FFFFC7CE"/>
        </patternFill>
      </fill>
    </dxf>
    <dxf>
      <font>
        <name val="Calibri"/>
        <charset val="1"/>
        <family val="0"/>
        <i val="1"/>
        <sz val="10"/>
      </font>
      <fill>
        <patternFill>
          <bgColor rgb="FFF2F2F2"/>
        </patternFill>
      </fill>
    </dxf>
    <dxf>
      <font>
        <name val="Calibri"/>
        <charset val="1"/>
        <family val="0"/>
        <b val="1"/>
        <sz val="1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9" min="4" style="0" width="14"/>
  </cols>
  <sheetData>
    <row r="2" customFormat="false" ht="31.5" hidden="false" customHeight="true" outlineLevel="0" collapsed="false">
      <c r="B2" s="1" t="s">
        <v>0</v>
      </c>
      <c r="C2" s="1"/>
      <c r="D2" s="1"/>
      <c r="E2" s="1"/>
      <c r="F2" s="1"/>
      <c r="G2" s="1"/>
      <c r="H2" s="1"/>
      <c r="I2" s="1"/>
    </row>
    <row r="3" customFormat="false" ht="21.75" hidden="false" customHeight="true" outlineLevel="0" collapsed="false">
      <c r="B3" s="2" t="s">
        <v>1</v>
      </c>
      <c r="C3" s="2"/>
      <c r="D3" s="2"/>
      <c r="E3" s="2"/>
      <c r="F3" s="2"/>
      <c r="G3" s="2"/>
      <c r="H3" s="2"/>
      <c r="I3" s="2"/>
    </row>
    <row r="5" customFormat="false" ht="15" hidden="false" customHeight="false" outlineLevel="0" collapsed="false">
      <c r="B5" s="3" t="s">
        <v>2</v>
      </c>
      <c r="C5" s="4" t="s">
        <v>3</v>
      </c>
      <c r="D5" s="4"/>
      <c r="E5" s="4"/>
      <c r="F5" s="4"/>
      <c r="G5" s="4"/>
      <c r="H5" s="4"/>
      <c r="I5" s="4"/>
    </row>
    <row r="6" customFormat="false" ht="15" hidden="false" customHeight="false" outlineLevel="0" collapsed="false">
      <c r="B6" s="3" t="s">
        <v>4</v>
      </c>
      <c r="C6" s="4" t="s">
        <v>5</v>
      </c>
      <c r="D6" s="4"/>
      <c r="E6" s="4"/>
      <c r="F6" s="4"/>
      <c r="G6" s="4"/>
      <c r="H6" s="4"/>
      <c r="I6" s="4"/>
    </row>
    <row r="7" customFormat="false" ht="15" hidden="false" customHeight="false" outlineLevel="0" collapsed="false">
      <c r="B7" s="3" t="s">
        <v>6</v>
      </c>
      <c r="C7" s="4" t="s">
        <v>7</v>
      </c>
      <c r="D7" s="4"/>
      <c r="E7" s="4"/>
      <c r="F7" s="4"/>
      <c r="G7" s="4"/>
      <c r="H7" s="4"/>
      <c r="I7" s="4"/>
    </row>
    <row r="8" customFormat="false" ht="15" hidden="false" customHeight="false" outlineLevel="0" collapsed="false">
      <c r="B8" s="3" t="s">
        <v>8</v>
      </c>
      <c r="C8" s="4" t="s">
        <v>9</v>
      </c>
      <c r="D8" s="4"/>
      <c r="E8" s="4"/>
      <c r="F8" s="4"/>
      <c r="G8" s="4"/>
      <c r="H8" s="4"/>
      <c r="I8" s="4"/>
    </row>
    <row r="9" customFormat="false" ht="15" hidden="false" customHeight="false" outlineLevel="0" collapsed="false">
      <c r="B9" s="3" t="s">
        <v>10</v>
      </c>
      <c r="C9" s="4" t="s">
        <v>11</v>
      </c>
      <c r="D9" s="4"/>
      <c r="E9" s="4"/>
      <c r="F9" s="4"/>
      <c r="G9" s="4"/>
      <c r="H9" s="4"/>
      <c r="I9" s="4"/>
    </row>
    <row r="10" customFormat="false" ht="15" hidden="false" customHeight="false" outlineLevel="0" collapsed="false">
      <c r="B10" s="3" t="s">
        <v>12</v>
      </c>
      <c r="C10" s="4" t="s">
        <v>13</v>
      </c>
      <c r="D10" s="4"/>
      <c r="E10" s="4"/>
      <c r="F10" s="4"/>
      <c r="G10" s="4"/>
      <c r="H10" s="4"/>
      <c r="I10" s="4"/>
    </row>
    <row r="11" customFormat="false" ht="15" hidden="false" customHeight="false" outlineLevel="0" collapsed="false">
      <c r="B11" s="3" t="s">
        <v>14</v>
      </c>
      <c r="C11" s="4" t="s">
        <v>15</v>
      </c>
      <c r="D11" s="4"/>
      <c r="E11" s="4"/>
      <c r="F11" s="4"/>
      <c r="G11" s="4"/>
      <c r="H11" s="4"/>
      <c r="I11" s="4"/>
    </row>
    <row r="12" customFormat="false" ht="15" hidden="false" customHeight="false" outlineLevel="0" collapsed="false">
      <c r="B12" s="3" t="s">
        <v>16</v>
      </c>
      <c r="C12" s="4" t="s">
        <v>17</v>
      </c>
      <c r="D12" s="4"/>
      <c r="E12" s="4"/>
      <c r="F12" s="4"/>
      <c r="G12" s="4"/>
      <c r="H12" s="4"/>
      <c r="I12" s="4"/>
    </row>
    <row r="13" customFormat="false" ht="15" hidden="false" customHeight="false" outlineLevel="0" collapsed="false">
      <c r="B13" s="3" t="s">
        <v>18</v>
      </c>
      <c r="C13" s="4" t="s">
        <v>19</v>
      </c>
      <c r="D13" s="4"/>
      <c r="E13" s="4"/>
      <c r="F13" s="4"/>
      <c r="G13" s="4"/>
      <c r="H13" s="4"/>
      <c r="I13" s="4"/>
    </row>
    <row r="16" customFormat="false" ht="17.35" hidden="false" customHeight="false" outlineLevel="0" collapsed="false">
      <c r="B16" s="5" t="s">
        <v>20</v>
      </c>
      <c r="C16" s="5"/>
      <c r="D16" s="5"/>
      <c r="E16" s="5"/>
      <c r="F16" s="5"/>
      <c r="G16" s="5"/>
      <c r="H16" s="5"/>
      <c r="I16" s="5"/>
    </row>
    <row r="17" customFormat="false" ht="34.5" hidden="false" customHeight="true" outlineLevel="0" collapsed="false">
      <c r="B17" s="6" t="s">
        <v>21</v>
      </c>
      <c r="C17" s="7" t="s">
        <v>22</v>
      </c>
      <c r="D17" s="8" t="s">
        <v>23</v>
      </c>
      <c r="E17" s="8"/>
      <c r="F17" s="8"/>
      <c r="G17" s="8"/>
      <c r="H17" s="8"/>
      <c r="I17" s="8"/>
    </row>
    <row r="18" customFormat="false" ht="34.5" hidden="false" customHeight="true" outlineLevel="0" collapsed="false">
      <c r="B18" s="9" t="s">
        <v>24</v>
      </c>
      <c r="C18" s="10" t="s">
        <v>25</v>
      </c>
      <c r="D18" s="11" t="s">
        <v>26</v>
      </c>
      <c r="E18" s="11"/>
      <c r="F18" s="11"/>
      <c r="G18" s="11"/>
      <c r="H18" s="11"/>
      <c r="I18" s="11"/>
    </row>
    <row r="19" customFormat="false" ht="34.5" hidden="false" customHeight="true" outlineLevel="0" collapsed="false">
      <c r="B19" s="6" t="s">
        <v>27</v>
      </c>
      <c r="C19" s="7" t="s">
        <v>28</v>
      </c>
      <c r="D19" s="8" t="s">
        <v>29</v>
      </c>
      <c r="E19" s="8"/>
      <c r="F19" s="8"/>
      <c r="G19" s="8"/>
      <c r="H19" s="8"/>
      <c r="I19" s="8"/>
    </row>
    <row r="20" customFormat="false" ht="34.5" hidden="false" customHeight="true" outlineLevel="0" collapsed="false">
      <c r="B20" s="9" t="s">
        <v>30</v>
      </c>
      <c r="C20" s="10" t="s">
        <v>31</v>
      </c>
      <c r="D20" s="11" t="s">
        <v>32</v>
      </c>
      <c r="E20" s="11"/>
      <c r="F20" s="11"/>
      <c r="G20" s="11"/>
      <c r="H20" s="11"/>
      <c r="I20" s="11"/>
    </row>
    <row r="21" customFormat="false" ht="34.5" hidden="false" customHeight="true" outlineLevel="0" collapsed="false">
      <c r="B21" s="6" t="s">
        <v>33</v>
      </c>
      <c r="C21" s="7" t="s">
        <v>34</v>
      </c>
      <c r="D21" s="8" t="s">
        <v>35</v>
      </c>
      <c r="E21" s="8"/>
      <c r="F21" s="8"/>
      <c r="G21" s="8"/>
      <c r="H21" s="8"/>
      <c r="I21" s="8"/>
    </row>
    <row r="22" customFormat="false" ht="34.5" hidden="false" customHeight="true" outlineLevel="0" collapsed="false">
      <c r="B22" s="9" t="s">
        <v>36</v>
      </c>
      <c r="C22" s="10" t="s">
        <v>37</v>
      </c>
      <c r="D22" s="11" t="s">
        <v>38</v>
      </c>
      <c r="E22" s="11"/>
      <c r="F22" s="11"/>
      <c r="G22" s="11"/>
      <c r="H22" s="11"/>
      <c r="I22" s="11"/>
    </row>
    <row r="23" customFormat="false" ht="34.5" hidden="false" customHeight="true" outlineLevel="0" collapsed="false">
      <c r="B23" s="6" t="s">
        <v>39</v>
      </c>
      <c r="C23" s="7" t="s">
        <v>40</v>
      </c>
      <c r="D23" s="8" t="s">
        <v>41</v>
      </c>
      <c r="E23" s="8"/>
      <c r="F23" s="8"/>
      <c r="G23" s="8"/>
      <c r="H23" s="8"/>
      <c r="I23" s="8"/>
    </row>
    <row r="26" customFormat="false" ht="17.35" hidden="false" customHeight="false" outlineLevel="0" collapsed="false">
      <c r="B26" s="5" t="s">
        <v>42</v>
      </c>
      <c r="C26" s="5"/>
      <c r="D26" s="5"/>
      <c r="E26" s="5"/>
      <c r="F26" s="5"/>
      <c r="G26" s="5"/>
      <c r="H26" s="5"/>
      <c r="I26" s="5"/>
    </row>
    <row r="27" customFormat="false" ht="15" hidden="false" customHeight="false" outlineLevel="0" collapsed="false">
      <c r="B27" s="12" t="s">
        <v>43</v>
      </c>
      <c r="C27" s="13" t="s">
        <v>44</v>
      </c>
      <c r="D27" s="13"/>
      <c r="E27" s="13"/>
      <c r="F27" s="13"/>
      <c r="G27" s="13"/>
      <c r="H27" s="13"/>
      <c r="I27" s="13"/>
    </row>
    <row r="28" customFormat="false" ht="15" hidden="false" customHeight="false" outlineLevel="0" collapsed="false">
      <c r="B28" s="14" t="s">
        <v>45</v>
      </c>
      <c r="C28" s="13" t="s">
        <v>46</v>
      </c>
      <c r="D28" s="13"/>
      <c r="E28" s="13"/>
      <c r="F28" s="13"/>
      <c r="G28" s="13"/>
      <c r="H28" s="13"/>
      <c r="I28" s="13"/>
    </row>
    <row r="29" customFormat="false" ht="15" hidden="false" customHeight="false" outlineLevel="0" collapsed="false">
      <c r="B29" s="15" t="s">
        <v>47</v>
      </c>
      <c r="C29" s="13" t="s">
        <v>48</v>
      </c>
      <c r="D29" s="13"/>
      <c r="E29" s="13"/>
      <c r="F29" s="13"/>
      <c r="G29" s="13"/>
      <c r="H29" s="13"/>
      <c r="I29" s="13"/>
    </row>
    <row r="30" customFormat="false" ht="15" hidden="false" customHeight="false" outlineLevel="0" collapsed="false">
      <c r="B30" s="16" t="s">
        <v>49</v>
      </c>
      <c r="C30" s="13" t="s">
        <v>50</v>
      </c>
      <c r="D30" s="13"/>
      <c r="E30" s="13"/>
      <c r="F30" s="13"/>
      <c r="G30" s="13"/>
      <c r="H30" s="13"/>
      <c r="I30" s="13"/>
    </row>
  </sheetData>
  <mergeCells count="24">
    <mergeCell ref="B2:I2"/>
    <mergeCell ref="B3:I3"/>
    <mergeCell ref="C5:I5"/>
    <mergeCell ref="C6:I6"/>
    <mergeCell ref="C7:I7"/>
    <mergeCell ref="C8:I8"/>
    <mergeCell ref="C9:I9"/>
    <mergeCell ref="C10:I10"/>
    <mergeCell ref="C11:I11"/>
    <mergeCell ref="C12:I12"/>
    <mergeCell ref="C13:I13"/>
    <mergeCell ref="B16:I16"/>
    <mergeCell ref="D17:I17"/>
    <mergeCell ref="D18:I18"/>
    <mergeCell ref="D19:I19"/>
    <mergeCell ref="D20:I20"/>
    <mergeCell ref="D21:I21"/>
    <mergeCell ref="D22:I22"/>
    <mergeCell ref="D23:I23"/>
    <mergeCell ref="B26:I26"/>
    <mergeCell ref="C27:I27"/>
    <mergeCell ref="C28:I28"/>
    <mergeCell ref="C29:I29"/>
    <mergeCell ref="C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0"/>
    <col collapsed="false" customWidth="true" hidden="false" outlineLevel="0" max="4" min="4" style="0" width="12"/>
    <col collapsed="false" customWidth="true" hidden="false" outlineLevel="0" max="6" min="5" style="0" width="9"/>
    <col collapsed="false" customWidth="true" hidden="false" outlineLevel="0" max="8" min="7" style="0" width="12"/>
    <col collapsed="false" customWidth="true" hidden="false" outlineLevel="0" max="9" min="9" style="0" width="16"/>
  </cols>
  <sheetData>
    <row r="1" customFormat="false" ht="31.5" hidden="false" customHeight="true" outlineLevel="0" collapsed="false">
      <c r="A1" s="17" t="s">
        <v>51</v>
      </c>
      <c r="B1" s="17"/>
      <c r="C1" s="17"/>
      <c r="D1" s="17"/>
      <c r="E1" s="17"/>
      <c r="F1" s="17"/>
      <c r="G1" s="17"/>
      <c r="H1" s="17"/>
      <c r="I1" s="17"/>
    </row>
    <row r="2" customFormat="false" ht="19.5" hidden="false" customHeight="true" outlineLevel="0" collapsed="false">
      <c r="A2" s="18" t="s">
        <v>52</v>
      </c>
      <c r="B2" s="18"/>
      <c r="C2" s="18"/>
      <c r="D2" s="18"/>
      <c r="E2" s="18"/>
      <c r="F2" s="18"/>
      <c r="G2" s="18"/>
      <c r="H2" s="18"/>
      <c r="I2" s="18"/>
    </row>
    <row r="4" customFormat="false" ht="31.5" hidden="false" customHeight="true" outlineLevel="0" collapsed="false">
      <c r="A4" s="19" t="s">
        <v>53</v>
      </c>
      <c r="B4" s="19" t="s">
        <v>54</v>
      </c>
      <c r="C4" s="19" t="s">
        <v>55</v>
      </c>
      <c r="D4" s="19" t="s">
        <v>56</v>
      </c>
      <c r="E4" s="19" t="s">
        <v>43</v>
      </c>
      <c r="F4" s="19" t="s">
        <v>45</v>
      </c>
      <c r="G4" s="19" t="s">
        <v>47</v>
      </c>
      <c r="H4" s="19" t="s">
        <v>49</v>
      </c>
      <c r="I4" s="19" t="s">
        <v>57</v>
      </c>
    </row>
    <row r="5" customFormat="false" ht="24" hidden="false" customHeight="true" outlineLevel="0" collapsed="false">
      <c r="A5" s="20" t="n">
        <v>1</v>
      </c>
      <c r="B5" s="21" t="s">
        <v>58</v>
      </c>
      <c r="C5" s="22" t="n">
        <v>45</v>
      </c>
      <c r="D5" s="23" t="s">
        <v>59</v>
      </c>
      <c r="E5" s="20" t="n">
        <f aca="false">COUNTIF('1.Biologiques'!D5:D49,"Oui")</f>
        <v>0</v>
      </c>
      <c r="F5" s="20" t="n">
        <f aca="false">COUNTIF('1.Biologiques'!D5:D49,"Non")</f>
        <v>0</v>
      </c>
      <c r="G5" s="20" t="n">
        <f aca="false">COUNTIF('1.Biologiques'!D5:D49,"Sans objet")</f>
        <v>0</v>
      </c>
      <c r="H5" s="20" t="n">
        <f aca="false">COUNTIF('1.Biologiques'!D5:D49,"À évaluer")</f>
        <v>0</v>
      </c>
      <c r="I5" s="24" t="str">
        <f aca="false">IFERROR(E5/(E5+F5),"-")</f>
        <v>-</v>
      </c>
    </row>
    <row r="6" customFormat="false" ht="24" hidden="false" customHeight="true" outlineLevel="0" collapsed="false">
      <c r="A6" s="25" t="n">
        <v>2</v>
      </c>
      <c r="B6" s="26" t="s">
        <v>60</v>
      </c>
      <c r="C6" s="6" t="n">
        <v>35</v>
      </c>
      <c r="D6" s="27" t="s">
        <v>61</v>
      </c>
      <c r="E6" s="25" t="n">
        <f aca="false">COUNTIF('2.Routiers'!D5:D39,"Oui")</f>
        <v>0</v>
      </c>
      <c r="F6" s="25" t="n">
        <f aca="false">COUNTIF('2.Routiers'!D5:D39,"Non")</f>
        <v>0</v>
      </c>
      <c r="G6" s="25" t="n">
        <f aca="false">COUNTIF('2.Routiers'!D5:D39,"Sans objet")</f>
        <v>0</v>
      </c>
      <c r="H6" s="25" t="n">
        <f aca="false">COUNTIF('2.Routiers'!D5:D39,"À évaluer")</f>
        <v>0</v>
      </c>
      <c r="I6" s="28" t="str">
        <f aca="false">IFERROR(E6/(E6+F6),"-")</f>
        <v>-</v>
      </c>
    </row>
    <row r="7" customFormat="false" ht="24" hidden="false" customHeight="true" outlineLevel="0" collapsed="false">
      <c r="A7" s="20" t="n">
        <v>3</v>
      </c>
      <c r="B7" s="21" t="s">
        <v>62</v>
      </c>
      <c r="C7" s="22" t="n">
        <v>77</v>
      </c>
      <c r="D7" s="23" t="s">
        <v>63</v>
      </c>
      <c r="E7" s="20" t="n">
        <f aca="false">COUNTIF('3.Chimiques'!D5:D81,"Oui")</f>
        <v>0</v>
      </c>
      <c r="F7" s="20" t="n">
        <f aca="false">COUNTIF('3.Chimiques'!D5:D81,"Non")</f>
        <v>0</v>
      </c>
      <c r="G7" s="20" t="n">
        <f aca="false">COUNTIF('3.Chimiques'!D5:D81,"Sans objet")</f>
        <v>0</v>
      </c>
      <c r="H7" s="20" t="n">
        <f aca="false">COUNTIF('3.Chimiques'!D5:D81,"À évaluer")</f>
        <v>0</v>
      </c>
      <c r="I7" s="24" t="str">
        <f aca="false">IFERROR(E7/(E7+F7),"-")</f>
        <v>-</v>
      </c>
    </row>
    <row r="8" customFormat="false" ht="24" hidden="false" customHeight="true" outlineLevel="0" collapsed="false">
      <c r="A8" s="25" t="n">
        <v>4</v>
      </c>
      <c r="B8" s="26" t="s">
        <v>64</v>
      </c>
      <c r="C8" s="6" t="n">
        <v>101</v>
      </c>
      <c r="D8" s="27" t="s">
        <v>65</v>
      </c>
      <c r="E8" s="25" t="n">
        <f aca="false">COUNTIF('4.Incendie-Explosion'!D5:D105,"Oui")</f>
        <v>0</v>
      </c>
      <c r="F8" s="25" t="n">
        <f aca="false">COUNTIF('4.Incendie-Explosion'!D5:D105,"Non")</f>
        <v>0</v>
      </c>
      <c r="G8" s="25" t="n">
        <f aca="false">COUNTIF('4.Incendie-Explosion'!D5:D105,"Sans objet")</f>
        <v>0</v>
      </c>
      <c r="H8" s="25" t="n">
        <f aca="false">COUNTIF('4.Incendie-Explosion'!D5:D105,"À évaluer")</f>
        <v>0</v>
      </c>
      <c r="I8" s="28" t="str">
        <f aca="false">IFERROR(E8/(E8+F8),"-")</f>
        <v>-</v>
      </c>
    </row>
    <row r="9" customFormat="false" ht="24" hidden="false" customHeight="true" outlineLevel="0" collapsed="false">
      <c r="A9" s="20" t="n">
        <v>5</v>
      </c>
      <c r="B9" s="21" t="s">
        <v>66</v>
      </c>
      <c r="C9" s="22" t="n">
        <v>103</v>
      </c>
      <c r="D9" s="23" t="s">
        <v>67</v>
      </c>
      <c r="E9" s="20" t="n">
        <f aca="false">COUNTIF('5.Psycho-sociaux'!D5:D107,"Oui")</f>
        <v>0</v>
      </c>
      <c r="F9" s="20" t="n">
        <f aca="false">COUNTIF('5.Psycho-sociaux'!D5:D107,"Non")</f>
        <v>0</v>
      </c>
      <c r="G9" s="20" t="n">
        <f aca="false">COUNTIF('5.Psycho-sociaux'!D5:D107,"Sans objet")</f>
        <v>0</v>
      </c>
      <c r="H9" s="20" t="n">
        <f aca="false">COUNTIF('5.Psycho-sociaux'!D5:D107,"À évaluer")</f>
        <v>0</v>
      </c>
      <c r="I9" s="24" t="str">
        <f aca="false">IFERROR(E9/(E9+F9),"-")</f>
        <v>-</v>
      </c>
    </row>
    <row r="10" customFormat="false" ht="24" hidden="false" customHeight="true" outlineLevel="0" collapsed="false">
      <c r="A10" s="25" t="n">
        <v>6</v>
      </c>
      <c r="B10" s="26" t="s">
        <v>68</v>
      </c>
      <c r="C10" s="6" t="n">
        <v>112</v>
      </c>
      <c r="D10" s="27" t="s">
        <v>69</v>
      </c>
      <c r="E10" s="25" t="n">
        <f aca="false">COUNTIF('6.Manutentions'!D5:D116,"Oui")</f>
        <v>0</v>
      </c>
      <c r="F10" s="25" t="n">
        <f aca="false">COUNTIF('6.Manutentions'!D5:D116,"Non")</f>
        <v>0</v>
      </c>
      <c r="G10" s="25" t="n">
        <f aca="false">COUNTIF('6.Manutentions'!D5:D116,"Sans objet")</f>
        <v>0</v>
      </c>
      <c r="H10" s="25" t="n">
        <f aca="false">COUNTIF('6.Manutentions'!D5:D116,"À évaluer")</f>
        <v>0</v>
      </c>
      <c r="I10" s="28" t="str">
        <f aca="false">IFERROR(E10/(E10+F10),"-")</f>
        <v>-</v>
      </c>
    </row>
    <row r="11" customFormat="false" ht="24" hidden="false" customHeight="true" outlineLevel="0" collapsed="false">
      <c r="A11" s="20" t="n">
        <v>7</v>
      </c>
      <c r="B11" s="21" t="s">
        <v>70</v>
      </c>
      <c r="C11" s="22" t="n">
        <v>147</v>
      </c>
      <c r="D11" s="23" t="s">
        <v>71</v>
      </c>
      <c r="E11" s="20" t="n">
        <f aca="false">COUNTIF('7.Physiques'!D5:D151,"Oui")</f>
        <v>0</v>
      </c>
      <c r="F11" s="20" t="n">
        <f aca="false">COUNTIF('7.Physiques'!D5:D151,"Non")</f>
        <v>0</v>
      </c>
      <c r="G11" s="20" t="n">
        <f aca="false">COUNTIF('7.Physiques'!D5:D151,"Sans objet")</f>
        <v>0</v>
      </c>
      <c r="H11" s="20" t="n">
        <f aca="false">COUNTIF('7.Physiques'!D5:D151,"À évaluer")</f>
        <v>0</v>
      </c>
      <c r="I11" s="24" t="str">
        <f aca="false">IFERROR(E11/(E11+F11),"-")</f>
        <v>-</v>
      </c>
    </row>
    <row r="12" customFormat="false" ht="24" hidden="false" customHeight="true" outlineLevel="0" collapsed="false">
      <c r="A12" s="25" t="n">
        <v>8</v>
      </c>
      <c r="B12" s="26" t="s">
        <v>72</v>
      </c>
      <c r="C12" s="6" t="n">
        <v>91</v>
      </c>
      <c r="D12" s="27" t="s">
        <v>61</v>
      </c>
      <c r="E12" s="25" t="n">
        <f aca="false">COUNTIF('8.Circulations'!D5:D95,"Oui")</f>
        <v>0</v>
      </c>
      <c r="F12" s="25" t="n">
        <f aca="false">COUNTIF('8.Circulations'!D5:D95,"Non")</f>
        <v>0</v>
      </c>
      <c r="G12" s="25" t="n">
        <f aca="false">COUNTIF('8.Circulations'!D5:D95,"Sans objet")</f>
        <v>0</v>
      </c>
      <c r="H12" s="25" t="n">
        <f aca="false">COUNTIF('8.Circulations'!D5:D95,"À évaluer")</f>
        <v>0</v>
      </c>
      <c r="I12" s="28" t="str">
        <f aca="false">IFERROR(E12/(E12+F12),"-")</f>
        <v>-</v>
      </c>
    </row>
    <row r="13" customFormat="false" ht="24" hidden="false" customHeight="true" outlineLevel="0" collapsed="false">
      <c r="A13" s="20" t="n">
        <v>9</v>
      </c>
      <c r="B13" s="21" t="s">
        <v>73</v>
      </c>
      <c r="C13" s="22" t="n">
        <v>128</v>
      </c>
      <c r="D13" s="23" t="s">
        <v>74</v>
      </c>
      <c r="E13" s="20" t="n">
        <f aca="false">COUNTIF('9.Organisation interne'!D5:D132,"Oui")</f>
        <v>0</v>
      </c>
      <c r="F13" s="20" t="n">
        <f aca="false">COUNTIF('9.Organisation interne'!D5:D132,"Non")</f>
        <v>0</v>
      </c>
      <c r="G13" s="20" t="n">
        <f aca="false">COUNTIF('9.Organisation interne'!D5:D132,"Sans objet")</f>
        <v>0</v>
      </c>
      <c r="H13" s="20" t="n">
        <f aca="false">COUNTIF('9.Organisation interne'!D5:D132,"À évaluer")</f>
        <v>0</v>
      </c>
      <c r="I13" s="24" t="str">
        <f aca="false">IFERROR(E13/(E13+F13),"-")</f>
        <v>-</v>
      </c>
    </row>
    <row r="14" customFormat="false" ht="27.75" hidden="false" customHeight="true" outlineLevel="0" collapsed="false">
      <c r="A14" s="29"/>
      <c r="B14" s="30" t="s">
        <v>75</v>
      </c>
      <c r="C14" s="29" t="n">
        <f aca="false">SUM(C5:C13)</f>
        <v>839</v>
      </c>
      <c r="D14" s="29" t="s">
        <v>76</v>
      </c>
      <c r="E14" s="29" t="n">
        <f aca="false">SUM(E5:E13)</f>
        <v>0</v>
      </c>
      <c r="F14" s="29" t="n">
        <f aca="false">SUM(F5:F13)</f>
        <v>0</v>
      </c>
      <c r="G14" s="29" t="n">
        <f aca="false">SUM(G5:G13)</f>
        <v>0</v>
      </c>
      <c r="H14" s="29" t="n">
        <f aca="false">SUM(H5:H13)</f>
        <v>0</v>
      </c>
      <c r="I14" s="31" t="str">
        <f aca="false">IFERROR(E14/(E14+F14),"-")</f>
        <v>-</v>
      </c>
    </row>
    <row r="17" customFormat="false" ht="17.35" hidden="false" customHeight="false" outlineLevel="0" collapsed="false">
      <c r="A17" s="5" t="s">
        <v>77</v>
      </c>
      <c r="B17" s="5"/>
      <c r="C17" s="5"/>
      <c r="D17" s="5"/>
      <c r="E17" s="5"/>
      <c r="F17" s="5"/>
      <c r="G17" s="5"/>
      <c r="H17" s="5"/>
      <c r="I17" s="5"/>
    </row>
    <row r="18" customFormat="false" ht="19.5" hidden="false" customHeight="true" outlineLevel="0" collapsed="false">
      <c r="B18" s="32" t="s">
        <v>78</v>
      </c>
      <c r="C18" s="32"/>
      <c r="D18" s="32"/>
      <c r="E18" s="33" t="n">
        <f aca="false">C14</f>
        <v>839</v>
      </c>
      <c r="F18" s="33"/>
    </row>
    <row r="19" customFormat="false" ht="19.5" hidden="false" customHeight="true" outlineLevel="0" collapsed="false">
      <c r="B19" s="32" t="s">
        <v>79</v>
      </c>
      <c r="C19" s="32"/>
      <c r="D19" s="32"/>
      <c r="E19" s="33" t="n">
        <f aca="false">E14</f>
        <v>0</v>
      </c>
      <c r="F19" s="33"/>
    </row>
    <row r="20" customFormat="false" ht="19.5" hidden="false" customHeight="true" outlineLevel="0" collapsed="false">
      <c r="B20" s="32" t="s">
        <v>80</v>
      </c>
      <c r="C20" s="32"/>
      <c r="D20" s="32"/>
      <c r="E20" s="33" t="n">
        <f aca="false">F14</f>
        <v>0</v>
      </c>
      <c r="F20" s="33"/>
    </row>
    <row r="21" customFormat="false" ht="19.5" hidden="false" customHeight="true" outlineLevel="0" collapsed="false">
      <c r="B21" s="32" t="s">
        <v>81</v>
      </c>
      <c r="C21" s="32"/>
      <c r="D21" s="32"/>
      <c r="E21" s="33" t="n">
        <f aca="false">G14</f>
        <v>0</v>
      </c>
      <c r="F21" s="33"/>
    </row>
    <row r="22" customFormat="false" ht="19.5" hidden="false" customHeight="true" outlineLevel="0" collapsed="false">
      <c r="B22" s="32" t="s">
        <v>82</v>
      </c>
      <c r="C22" s="32"/>
      <c r="D22" s="32"/>
      <c r="E22" s="33" t="n">
        <f aca="false">H14</f>
        <v>0</v>
      </c>
      <c r="F22" s="33"/>
    </row>
    <row r="23" customFormat="false" ht="19.5" hidden="false" customHeight="true" outlineLevel="0" collapsed="false">
      <c r="B23" s="32" t="s">
        <v>83</v>
      </c>
      <c r="C23" s="32"/>
      <c r="D23" s="32"/>
      <c r="E23" s="34" t="str">
        <f aca="false">I14</f>
        <v>-</v>
      </c>
      <c r="F23" s="34"/>
    </row>
    <row r="24" customFormat="false" ht="19.5" hidden="false" customHeight="true" outlineLevel="0" collapsed="false">
      <c r="B24" s="32" t="s">
        <v>84</v>
      </c>
      <c r="C24" s="32"/>
      <c r="D24" s="32"/>
      <c r="E24" s="34" t="n">
        <f aca="false">IFERROR((E14+F14+G14)/C14,"-")</f>
        <v>0</v>
      </c>
      <c r="F24" s="34"/>
    </row>
  </sheetData>
  <mergeCells count="17">
    <mergeCell ref="A1:I1"/>
    <mergeCell ref="A2:I2"/>
    <mergeCell ref="A17:I17"/>
    <mergeCell ref="B18:D18"/>
    <mergeCell ref="E18:F18"/>
    <mergeCell ref="B19:D19"/>
    <mergeCell ref="E19:F19"/>
    <mergeCell ref="B20:D20"/>
    <mergeCell ref="E20:F20"/>
    <mergeCell ref="B21:D21"/>
    <mergeCell ref="E21:F21"/>
    <mergeCell ref="B22:D22"/>
    <mergeCell ref="E22:F22"/>
    <mergeCell ref="B23:D23"/>
    <mergeCell ref="E23:F23"/>
    <mergeCell ref="B24:D24"/>
    <mergeCell ref="E24:F24"/>
  </mergeCells>
  <conditionalFormatting sqref="I5:I14">
    <cfRule type="cellIs" priority="2" operator="greaterThanOrEqual" aboveAverage="0" equalAverage="0" bottom="0" percent="0" rank="0" text="" dxfId="0">
      <formula>0.85</formula>
    </cfRule>
    <cfRule type="cellIs" priority="3" operator="between" aboveAverage="0" equalAverage="0" bottom="0" percent="0" rank="0" text="" dxfId="1">
      <formula>0.7</formula>
      <formula>0.85</formula>
    </cfRule>
    <cfRule type="cellIs" priority="4" operator="lessThan" aboveAverage="0" equalAverage="0" bottom="0" percent="0" rank="0" text="" dxfId="2">
      <formula>0.7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85</v>
      </c>
      <c r="B1" s="35"/>
      <c r="C1" s="35"/>
      <c r="D1" s="35"/>
      <c r="E1" s="35"/>
      <c r="F1" s="35"/>
      <c r="G1" s="35"/>
      <c r="H1" s="35"/>
      <c r="I1" s="35"/>
    </row>
    <row r="2" customFormat="false" ht="19.5" hidden="false" customHeight="true" outlineLevel="0" collapsed="false">
      <c r="A2" s="18" t="s">
        <v>86</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96</v>
      </c>
      <c r="C5" s="38" t="s">
        <v>97</v>
      </c>
      <c r="D5" s="39"/>
      <c r="E5" s="39"/>
      <c r="F5" s="38"/>
      <c r="G5" s="38"/>
      <c r="H5" s="38"/>
      <c r="I5" s="38"/>
    </row>
    <row r="6" customFormat="false" ht="37.5" hidden="false" customHeight="true" outlineLevel="0" collapsed="false">
      <c r="A6" s="40" t="n">
        <v>2</v>
      </c>
      <c r="B6" s="41" t="s">
        <v>98</v>
      </c>
      <c r="C6" s="42" t="s">
        <v>99</v>
      </c>
      <c r="D6" s="39"/>
      <c r="E6" s="43"/>
      <c r="F6" s="42"/>
      <c r="G6" s="42"/>
      <c r="H6" s="42"/>
      <c r="I6" s="42"/>
    </row>
    <row r="7" customFormat="false" ht="37.5" hidden="false" customHeight="true" outlineLevel="0" collapsed="false">
      <c r="A7" s="36" t="n">
        <v>3</v>
      </c>
      <c r="B7" s="37" t="s">
        <v>100</v>
      </c>
      <c r="C7" s="38" t="s">
        <v>101</v>
      </c>
      <c r="D7" s="39"/>
      <c r="E7" s="39"/>
      <c r="F7" s="38"/>
      <c r="G7" s="38"/>
      <c r="H7" s="38"/>
      <c r="I7" s="38"/>
    </row>
    <row r="8" customFormat="false" ht="37.5" hidden="false" customHeight="true" outlineLevel="0" collapsed="false">
      <c r="A8" s="40" t="n">
        <v>4</v>
      </c>
      <c r="B8" s="41" t="s">
        <v>102</v>
      </c>
      <c r="C8" s="42" t="s">
        <v>103</v>
      </c>
      <c r="D8" s="39"/>
      <c r="E8" s="43"/>
      <c r="F8" s="42"/>
      <c r="G8" s="42"/>
      <c r="H8" s="42"/>
      <c r="I8" s="42"/>
    </row>
    <row r="9" customFormat="false" ht="37.5" hidden="false" customHeight="true" outlineLevel="0" collapsed="false">
      <c r="A9" s="36" t="n">
        <v>5</v>
      </c>
      <c r="B9" s="37" t="s">
        <v>104</v>
      </c>
      <c r="C9" s="38" t="s">
        <v>105</v>
      </c>
      <c r="D9" s="39"/>
      <c r="E9" s="39"/>
      <c r="F9" s="38"/>
      <c r="G9" s="38"/>
      <c r="H9" s="38"/>
      <c r="I9" s="38"/>
    </row>
    <row r="10" customFormat="false" ht="37.5" hidden="false" customHeight="true" outlineLevel="0" collapsed="false">
      <c r="A10" s="40" t="n">
        <v>6</v>
      </c>
      <c r="B10" s="41" t="s">
        <v>106</v>
      </c>
      <c r="C10" s="42" t="s">
        <v>107</v>
      </c>
      <c r="D10" s="39"/>
      <c r="E10" s="43"/>
      <c r="F10" s="42"/>
      <c r="G10" s="42"/>
      <c r="H10" s="42"/>
      <c r="I10" s="42"/>
    </row>
    <row r="11" customFormat="false" ht="37.5" hidden="false" customHeight="true" outlineLevel="0" collapsed="false">
      <c r="A11" s="36" t="n">
        <v>7</v>
      </c>
      <c r="B11" s="37" t="s">
        <v>108</v>
      </c>
      <c r="C11" s="38" t="s">
        <v>109</v>
      </c>
      <c r="D11" s="39"/>
      <c r="E11" s="39"/>
      <c r="F11" s="38"/>
      <c r="G11" s="38"/>
      <c r="H11" s="38"/>
      <c r="I11" s="38"/>
    </row>
    <row r="12" customFormat="false" ht="37.5" hidden="false" customHeight="true" outlineLevel="0" collapsed="false">
      <c r="A12" s="40" t="n">
        <v>8</v>
      </c>
      <c r="B12" s="41" t="s">
        <v>110</v>
      </c>
      <c r="C12" s="42" t="s">
        <v>111</v>
      </c>
      <c r="D12" s="39"/>
      <c r="E12" s="43"/>
      <c r="F12" s="42"/>
      <c r="G12" s="42"/>
      <c r="H12" s="42"/>
      <c r="I12" s="42"/>
    </row>
    <row r="13" customFormat="false" ht="37.5" hidden="false" customHeight="true" outlineLevel="0" collapsed="false">
      <c r="A13" s="36" t="n">
        <v>9</v>
      </c>
      <c r="B13" s="37" t="s">
        <v>112</v>
      </c>
      <c r="C13" s="38" t="s">
        <v>113</v>
      </c>
      <c r="D13" s="39"/>
      <c r="E13" s="39"/>
      <c r="F13" s="38"/>
      <c r="G13" s="38"/>
      <c r="H13" s="38"/>
      <c r="I13" s="38"/>
    </row>
    <row r="14" customFormat="false" ht="37.5" hidden="false" customHeight="true" outlineLevel="0" collapsed="false">
      <c r="A14" s="40" t="n">
        <v>10</v>
      </c>
      <c r="B14" s="41" t="s">
        <v>114</v>
      </c>
      <c r="C14" s="42" t="s">
        <v>115</v>
      </c>
      <c r="D14" s="39"/>
      <c r="E14" s="43"/>
      <c r="F14" s="42"/>
      <c r="G14" s="42"/>
      <c r="H14" s="42"/>
      <c r="I14" s="42"/>
    </row>
    <row r="15" customFormat="false" ht="37.5" hidden="false" customHeight="true" outlineLevel="0" collapsed="false">
      <c r="A15" s="36" t="n">
        <v>11</v>
      </c>
      <c r="B15" s="37" t="s">
        <v>116</v>
      </c>
      <c r="C15" s="38" t="s">
        <v>117</v>
      </c>
      <c r="D15" s="39"/>
      <c r="E15" s="39"/>
      <c r="F15" s="38"/>
      <c r="G15" s="38"/>
      <c r="H15" s="38"/>
      <c r="I15" s="38"/>
    </row>
    <row r="16" customFormat="false" ht="37.5" hidden="false" customHeight="true" outlineLevel="0" collapsed="false">
      <c r="A16" s="40" t="n">
        <v>12</v>
      </c>
      <c r="B16" s="41" t="s">
        <v>118</v>
      </c>
      <c r="C16" s="42" t="s">
        <v>119</v>
      </c>
      <c r="D16" s="39"/>
      <c r="E16" s="43"/>
      <c r="F16" s="42"/>
      <c r="G16" s="42"/>
      <c r="H16" s="42"/>
      <c r="I16" s="42"/>
    </row>
    <row r="17" customFormat="false" ht="37.5" hidden="false" customHeight="true" outlineLevel="0" collapsed="false">
      <c r="A17" s="36" t="n">
        <v>13</v>
      </c>
      <c r="B17" s="37" t="s">
        <v>120</v>
      </c>
      <c r="C17" s="38" t="s">
        <v>121</v>
      </c>
      <c r="D17" s="39"/>
      <c r="E17" s="39"/>
      <c r="F17" s="38"/>
      <c r="G17" s="38"/>
      <c r="H17" s="38"/>
      <c r="I17" s="38"/>
    </row>
    <row r="18" customFormat="false" ht="37.5" hidden="false" customHeight="true" outlineLevel="0" collapsed="false">
      <c r="A18" s="40" t="n">
        <v>14</v>
      </c>
      <c r="B18" s="41" t="s">
        <v>122</v>
      </c>
      <c r="C18" s="42" t="s">
        <v>123</v>
      </c>
      <c r="D18" s="39"/>
      <c r="E18" s="43"/>
      <c r="F18" s="42"/>
      <c r="G18" s="42"/>
      <c r="H18" s="42"/>
      <c r="I18" s="42"/>
    </row>
    <row r="19" customFormat="false" ht="37.5" hidden="false" customHeight="true" outlineLevel="0" collapsed="false">
      <c r="A19" s="36" t="n">
        <v>15</v>
      </c>
      <c r="B19" s="37" t="s">
        <v>124</v>
      </c>
      <c r="C19" s="38" t="s">
        <v>125</v>
      </c>
      <c r="D19" s="39"/>
      <c r="E19" s="39"/>
      <c r="F19" s="38"/>
      <c r="G19" s="38"/>
      <c r="H19" s="38"/>
      <c r="I19" s="38"/>
    </row>
    <row r="20" customFormat="false" ht="37.5" hidden="false" customHeight="true" outlineLevel="0" collapsed="false">
      <c r="A20" s="40" t="n">
        <v>16</v>
      </c>
      <c r="B20" s="41" t="s">
        <v>126</v>
      </c>
      <c r="C20" s="42" t="s">
        <v>127</v>
      </c>
      <c r="D20" s="39"/>
      <c r="E20" s="43"/>
      <c r="F20" s="42"/>
      <c r="G20" s="42"/>
      <c r="H20" s="42"/>
      <c r="I20" s="42"/>
    </row>
    <row r="21" customFormat="false" ht="37.5" hidden="false" customHeight="true" outlineLevel="0" collapsed="false">
      <c r="A21" s="36" t="n">
        <v>17</v>
      </c>
      <c r="B21" s="37" t="s">
        <v>128</v>
      </c>
      <c r="C21" s="38" t="s">
        <v>129</v>
      </c>
      <c r="D21" s="39"/>
      <c r="E21" s="39"/>
      <c r="F21" s="38"/>
      <c r="G21" s="38"/>
      <c r="H21" s="38"/>
      <c r="I21" s="38"/>
    </row>
    <row r="22" customFormat="false" ht="37.5" hidden="false" customHeight="true" outlineLevel="0" collapsed="false">
      <c r="A22" s="40" t="n">
        <v>18</v>
      </c>
      <c r="B22" s="41" t="s">
        <v>130</v>
      </c>
      <c r="C22" s="42" t="s">
        <v>131</v>
      </c>
      <c r="D22" s="39"/>
      <c r="E22" s="43"/>
      <c r="F22" s="42"/>
      <c r="G22" s="42"/>
      <c r="H22" s="42"/>
      <c r="I22" s="42"/>
    </row>
    <row r="23" customFormat="false" ht="37.5" hidden="false" customHeight="true" outlineLevel="0" collapsed="false">
      <c r="A23" s="36" t="n">
        <v>19</v>
      </c>
      <c r="B23" s="37" t="s">
        <v>132</v>
      </c>
      <c r="C23" s="38" t="s">
        <v>133</v>
      </c>
      <c r="D23" s="39"/>
      <c r="E23" s="39"/>
      <c r="F23" s="38"/>
      <c r="G23" s="38"/>
      <c r="H23" s="38"/>
      <c r="I23" s="38"/>
    </row>
    <row r="24" customFormat="false" ht="37.5" hidden="false" customHeight="true" outlineLevel="0" collapsed="false">
      <c r="A24" s="40" t="n">
        <v>20</v>
      </c>
      <c r="B24" s="41" t="s">
        <v>134</v>
      </c>
      <c r="C24" s="42" t="s">
        <v>135</v>
      </c>
      <c r="D24" s="39"/>
      <c r="E24" s="43"/>
      <c r="F24" s="42"/>
      <c r="G24" s="42"/>
      <c r="H24" s="42"/>
      <c r="I24" s="42"/>
    </row>
    <row r="25" customFormat="false" ht="37.5" hidden="false" customHeight="true" outlineLevel="0" collapsed="false">
      <c r="A25" s="36" t="n">
        <v>21</v>
      </c>
      <c r="B25" s="37" t="s">
        <v>136</v>
      </c>
      <c r="C25" s="38" t="s">
        <v>137</v>
      </c>
      <c r="D25" s="39"/>
      <c r="E25" s="39"/>
      <c r="F25" s="38"/>
      <c r="G25" s="38"/>
      <c r="H25" s="38"/>
      <c r="I25" s="38"/>
    </row>
    <row r="26" customFormat="false" ht="37.5" hidden="false" customHeight="true" outlineLevel="0" collapsed="false">
      <c r="A26" s="40" t="n">
        <v>22</v>
      </c>
      <c r="B26" s="41" t="s">
        <v>138</v>
      </c>
      <c r="C26" s="42" t="s">
        <v>139</v>
      </c>
      <c r="D26" s="39"/>
      <c r="E26" s="43"/>
      <c r="F26" s="42"/>
      <c r="G26" s="42"/>
      <c r="H26" s="42"/>
      <c r="I26" s="42"/>
    </row>
    <row r="27" customFormat="false" ht="37.5" hidden="false" customHeight="true" outlineLevel="0" collapsed="false">
      <c r="A27" s="36" t="n">
        <v>23</v>
      </c>
      <c r="B27" s="37" t="s">
        <v>140</v>
      </c>
      <c r="C27" s="38" t="s">
        <v>141</v>
      </c>
      <c r="D27" s="39"/>
      <c r="E27" s="39"/>
      <c r="F27" s="38"/>
      <c r="G27" s="38"/>
      <c r="H27" s="38"/>
      <c r="I27" s="38"/>
    </row>
    <row r="28" customFormat="false" ht="37.5" hidden="false" customHeight="true" outlineLevel="0" collapsed="false">
      <c r="A28" s="40" t="n">
        <v>24</v>
      </c>
      <c r="B28" s="41" t="s">
        <v>142</v>
      </c>
      <c r="C28" s="42" t="s">
        <v>143</v>
      </c>
      <c r="D28" s="39"/>
      <c r="E28" s="43"/>
      <c r="F28" s="42"/>
      <c r="G28" s="42"/>
      <c r="H28" s="42"/>
      <c r="I28" s="42"/>
    </row>
    <row r="29" customFormat="false" ht="37.5" hidden="false" customHeight="true" outlineLevel="0" collapsed="false">
      <c r="A29" s="36" t="n">
        <v>25</v>
      </c>
      <c r="B29" s="37" t="s">
        <v>144</v>
      </c>
      <c r="C29" s="38" t="s">
        <v>145</v>
      </c>
      <c r="D29" s="39"/>
      <c r="E29" s="39"/>
      <c r="F29" s="38"/>
      <c r="G29" s="38"/>
      <c r="H29" s="38"/>
      <c r="I29" s="38"/>
    </row>
    <row r="30" customFormat="false" ht="37.5" hidden="false" customHeight="true" outlineLevel="0" collapsed="false">
      <c r="A30" s="40" t="n">
        <v>26</v>
      </c>
      <c r="B30" s="41" t="s">
        <v>146</v>
      </c>
      <c r="C30" s="42" t="s">
        <v>147</v>
      </c>
      <c r="D30" s="39"/>
      <c r="E30" s="43"/>
      <c r="F30" s="42"/>
      <c r="G30" s="42"/>
      <c r="H30" s="42"/>
      <c r="I30" s="42"/>
    </row>
    <row r="31" customFormat="false" ht="37.5" hidden="false" customHeight="true" outlineLevel="0" collapsed="false">
      <c r="A31" s="36" t="n">
        <v>27</v>
      </c>
      <c r="B31" s="37" t="s">
        <v>148</v>
      </c>
      <c r="C31" s="38" t="s">
        <v>149</v>
      </c>
      <c r="D31" s="39"/>
      <c r="E31" s="39"/>
      <c r="F31" s="38"/>
      <c r="G31" s="38"/>
      <c r="H31" s="38"/>
      <c r="I31" s="38"/>
    </row>
    <row r="32" customFormat="false" ht="37.5" hidden="false" customHeight="true" outlineLevel="0" collapsed="false">
      <c r="A32" s="40" t="n">
        <v>28</v>
      </c>
      <c r="B32" s="41" t="s">
        <v>150</v>
      </c>
      <c r="C32" s="42" t="s">
        <v>151</v>
      </c>
      <c r="D32" s="39"/>
      <c r="E32" s="43"/>
      <c r="F32" s="42"/>
      <c r="G32" s="42"/>
      <c r="H32" s="42"/>
      <c r="I32" s="42"/>
    </row>
    <row r="33" customFormat="false" ht="37.5" hidden="false" customHeight="true" outlineLevel="0" collapsed="false">
      <c r="A33" s="36" t="n">
        <v>29</v>
      </c>
      <c r="B33" s="37" t="s">
        <v>152</v>
      </c>
      <c r="C33" s="38" t="s">
        <v>153</v>
      </c>
      <c r="D33" s="39"/>
      <c r="E33" s="39"/>
      <c r="F33" s="38"/>
      <c r="G33" s="38"/>
      <c r="H33" s="38"/>
      <c r="I33" s="38"/>
    </row>
    <row r="34" customFormat="false" ht="37.5" hidden="false" customHeight="true" outlineLevel="0" collapsed="false">
      <c r="A34" s="40" t="n">
        <v>30</v>
      </c>
      <c r="B34" s="41" t="s">
        <v>154</v>
      </c>
      <c r="C34" s="42" t="s">
        <v>155</v>
      </c>
      <c r="D34" s="39"/>
      <c r="E34" s="43"/>
      <c r="F34" s="42"/>
      <c r="G34" s="42"/>
      <c r="H34" s="42"/>
      <c r="I34" s="42"/>
    </row>
    <row r="35" customFormat="false" ht="37.5" hidden="false" customHeight="true" outlineLevel="0" collapsed="false">
      <c r="A35" s="36" t="n">
        <v>31</v>
      </c>
      <c r="B35" s="37" t="s">
        <v>156</v>
      </c>
      <c r="C35" s="38" t="s">
        <v>157</v>
      </c>
      <c r="D35" s="39"/>
      <c r="E35" s="39"/>
      <c r="F35" s="38"/>
      <c r="G35" s="38"/>
      <c r="H35" s="38"/>
      <c r="I35" s="38"/>
    </row>
    <row r="36" customFormat="false" ht="37.5" hidden="false" customHeight="true" outlineLevel="0" collapsed="false">
      <c r="A36" s="40" t="n">
        <v>32</v>
      </c>
      <c r="B36" s="41" t="s">
        <v>158</v>
      </c>
      <c r="C36" s="42" t="s">
        <v>159</v>
      </c>
      <c r="D36" s="39"/>
      <c r="E36" s="43"/>
      <c r="F36" s="42"/>
      <c r="G36" s="42"/>
      <c r="H36" s="42"/>
      <c r="I36" s="42"/>
    </row>
    <row r="37" customFormat="false" ht="37.5" hidden="false" customHeight="true" outlineLevel="0" collapsed="false">
      <c r="A37" s="36" t="n">
        <v>33</v>
      </c>
      <c r="B37" s="37" t="s">
        <v>160</v>
      </c>
      <c r="C37" s="38" t="s">
        <v>161</v>
      </c>
      <c r="D37" s="39"/>
      <c r="E37" s="39"/>
      <c r="F37" s="38"/>
      <c r="G37" s="38"/>
      <c r="H37" s="38"/>
      <c r="I37" s="38"/>
    </row>
    <row r="38" customFormat="false" ht="37.5" hidden="false" customHeight="true" outlineLevel="0" collapsed="false">
      <c r="A38" s="40" t="n">
        <v>34</v>
      </c>
      <c r="B38" s="41" t="s">
        <v>162</v>
      </c>
      <c r="C38" s="42" t="s">
        <v>163</v>
      </c>
      <c r="D38" s="39"/>
      <c r="E38" s="43"/>
      <c r="F38" s="42"/>
      <c r="G38" s="42"/>
      <c r="H38" s="42"/>
      <c r="I38" s="42"/>
    </row>
    <row r="39" customFormat="false" ht="37.5" hidden="false" customHeight="true" outlineLevel="0" collapsed="false">
      <c r="A39" s="36" t="n">
        <v>35</v>
      </c>
      <c r="B39" s="37" t="s">
        <v>164</v>
      </c>
      <c r="C39" s="38" t="s">
        <v>165</v>
      </c>
      <c r="D39" s="39"/>
      <c r="E39" s="39"/>
      <c r="F39" s="38"/>
      <c r="G39" s="38"/>
      <c r="H39" s="38"/>
      <c r="I39" s="38"/>
    </row>
    <row r="40" customFormat="false" ht="37.5" hidden="false" customHeight="true" outlineLevel="0" collapsed="false">
      <c r="A40" s="40" t="n">
        <v>36</v>
      </c>
      <c r="B40" s="41" t="s">
        <v>166</v>
      </c>
      <c r="C40" s="42" t="s">
        <v>167</v>
      </c>
      <c r="D40" s="39"/>
      <c r="E40" s="43"/>
      <c r="F40" s="42"/>
      <c r="G40" s="42"/>
      <c r="H40" s="42"/>
      <c r="I40" s="42"/>
    </row>
    <row r="41" customFormat="false" ht="37.5" hidden="false" customHeight="true" outlineLevel="0" collapsed="false">
      <c r="A41" s="36" t="n">
        <v>37</v>
      </c>
      <c r="B41" s="37" t="s">
        <v>168</v>
      </c>
      <c r="C41" s="38" t="s">
        <v>169</v>
      </c>
      <c r="D41" s="39"/>
      <c r="E41" s="39"/>
      <c r="F41" s="38"/>
      <c r="G41" s="38"/>
      <c r="H41" s="38"/>
      <c r="I41" s="38"/>
    </row>
    <row r="42" customFormat="false" ht="37.5" hidden="false" customHeight="true" outlineLevel="0" collapsed="false">
      <c r="A42" s="40" t="n">
        <v>38</v>
      </c>
      <c r="B42" s="41" t="s">
        <v>170</v>
      </c>
      <c r="C42" s="42" t="s">
        <v>171</v>
      </c>
      <c r="D42" s="39"/>
      <c r="E42" s="43"/>
      <c r="F42" s="42"/>
      <c r="G42" s="42"/>
      <c r="H42" s="42"/>
      <c r="I42" s="42"/>
    </row>
    <row r="43" customFormat="false" ht="37.5" hidden="false" customHeight="true" outlineLevel="0" collapsed="false">
      <c r="A43" s="36" t="n">
        <v>39</v>
      </c>
      <c r="B43" s="37" t="s">
        <v>172</v>
      </c>
      <c r="C43" s="38" t="s">
        <v>173</v>
      </c>
      <c r="D43" s="39"/>
      <c r="E43" s="39"/>
      <c r="F43" s="38"/>
      <c r="G43" s="38"/>
      <c r="H43" s="38"/>
      <c r="I43" s="38"/>
    </row>
    <row r="44" customFormat="false" ht="37.5" hidden="false" customHeight="true" outlineLevel="0" collapsed="false">
      <c r="A44" s="40" t="n">
        <v>40</v>
      </c>
      <c r="B44" s="41" t="s">
        <v>174</v>
      </c>
      <c r="C44" s="42" t="s">
        <v>175</v>
      </c>
      <c r="D44" s="39"/>
      <c r="E44" s="43"/>
      <c r="F44" s="42"/>
      <c r="G44" s="42"/>
      <c r="H44" s="42"/>
      <c r="I44" s="42"/>
    </row>
    <row r="45" customFormat="false" ht="37.5" hidden="false" customHeight="true" outlineLevel="0" collapsed="false">
      <c r="A45" s="36" t="n">
        <v>41</v>
      </c>
      <c r="B45" s="37" t="s">
        <v>176</v>
      </c>
      <c r="C45" s="38" t="s">
        <v>177</v>
      </c>
      <c r="D45" s="39"/>
      <c r="E45" s="39"/>
      <c r="F45" s="38"/>
      <c r="G45" s="38"/>
      <c r="H45" s="38"/>
      <c r="I45" s="38"/>
    </row>
    <row r="46" customFormat="false" ht="37.5" hidden="false" customHeight="true" outlineLevel="0" collapsed="false">
      <c r="A46" s="40" t="n">
        <v>42</v>
      </c>
      <c r="B46" s="41" t="s">
        <v>178</v>
      </c>
      <c r="C46" s="42" t="s">
        <v>179</v>
      </c>
      <c r="D46" s="39"/>
      <c r="E46" s="43"/>
      <c r="F46" s="42"/>
      <c r="G46" s="42"/>
      <c r="H46" s="42"/>
      <c r="I46" s="42"/>
    </row>
    <row r="47" customFormat="false" ht="37.5" hidden="false" customHeight="true" outlineLevel="0" collapsed="false">
      <c r="A47" s="36" t="n">
        <v>43</v>
      </c>
      <c r="B47" s="37" t="s">
        <v>180</v>
      </c>
      <c r="C47" s="38" t="s">
        <v>181</v>
      </c>
      <c r="D47" s="39"/>
      <c r="E47" s="39"/>
      <c r="F47" s="38"/>
      <c r="G47" s="38"/>
      <c r="H47" s="38"/>
      <c r="I47" s="38"/>
    </row>
    <row r="48" customFormat="false" ht="37.5" hidden="false" customHeight="true" outlineLevel="0" collapsed="false">
      <c r="A48" s="40" t="n">
        <v>44</v>
      </c>
      <c r="B48" s="41" t="s">
        <v>182</v>
      </c>
      <c r="C48" s="42" t="s">
        <v>183</v>
      </c>
      <c r="D48" s="39"/>
      <c r="E48" s="43"/>
      <c r="F48" s="42"/>
      <c r="G48" s="42"/>
      <c r="H48" s="42"/>
      <c r="I48" s="42"/>
    </row>
    <row r="49" customFormat="false" ht="37.5" hidden="false" customHeight="true" outlineLevel="0" collapsed="false">
      <c r="A49" s="36" t="n">
        <v>45</v>
      </c>
      <c r="B49" s="37" t="s">
        <v>184</v>
      </c>
      <c r="C49" s="38" t="s">
        <v>185</v>
      </c>
      <c r="D49" s="39"/>
      <c r="E49" s="39"/>
      <c r="F49" s="38"/>
      <c r="G49" s="38"/>
      <c r="H49" s="38"/>
      <c r="I49" s="38"/>
    </row>
  </sheetData>
  <autoFilter ref="A4:I49"/>
  <mergeCells count="2">
    <mergeCell ref="A1:I1"/>
    <mergeCell ref="A2:I2"/>
  </mergeCells>
  <conditionalFormatting sqref="D5:D49">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186</v>
      </c>
      <c r="B1" s="35"/>
      <c r="C1" s="35"/>
      <c r="D1" s="35"/>
      <c r="E1" s="35"/>
      <c r="F1" s="35"/>
      <c r="G1" s="35"/>
      <c r="H1" s="35"/>
      <c r="I1" s="35"/>
    </row>
    <row r="2" customFormat="false" ht="19.5" hidden="false" customHeight="true" outlineLevel="0" collapsed="false">
      <c r="A2" s="18" t="s">
        <v>187</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188</v>
      </c>
      <c r="C5" s="38" t="s">
        <v>189</v>
      </c>
      <c r="D5" s="39"/>
      <c r="E5" s="39"/>
      <c r="F5" s="38"/>
      <c r="G5" s="38"/>
      <c r="H5" s="38"/>
      <c r="I5" s="38"/>
    </row>
    <row r="6" customFormat="false" ht="37.5" hidden="false" customHeight="true" outlineLevel="0" collapsed="false">
      <c r="A6" s="40" t="n">
        <v>2</v>
      </c>
      <c r="B6" s="41" t="s">
        <v>190</v>
      </c>
      <c r="C6" s="42" t="s">
        <v>191</v>
      </c>
      <c r="D6" s="39"/>
      <c r="E6" s="43"/>
      <c r="F6" s="42"/>
      <c r="G6" s="42"/>
      <c r="H6" s="42"/>
      <c r="I6" s="42"/>
    </row>
    <row r="7" customFormat="false" ht="37.5" hidden="false" customHeight="true" outlineLevel="0" collapsed="false">
      <c r="A7" s="36" t="n">
        <v>3</v>
      </c>
      <c r="B7" s="37" t="s">
        <v>192</v>
      </c>
      <c r="C7" s="38" t="s">
        <v>193</v>
      </c>
      <c r="D7" s="39"/>
      <c r="E7" s="39"/>
      <c r="F7" s="38"/>
      <c r="G7" s="38"/>
      <c r="H7" s="38"/>
      <c r="I7" s="38"/>
    </row>
    <row r="8" customFormat="false" ht="37.5" hidden="false" customHeight="true" outlineLevel="0" collapsed="false">
      <c r="A8" s="40" t="n">
        <v>4</v>
      </c>
      <c r="B8" s="41" t="s">
        <v>194</v>
      </c>
      <c r="C8" s="42" t="s">
        <v>195</v>
      </c>
      <c r="D8" s="39"/>
      <c r="E8" s="43"/>
      <c r="F8" s="42"/>
      <c r="G8" s="42"/>
      <c r="H8" s="42"/>
      <c r="I8" s="42"/>
    </row>
    <row r="9" customFormat="false" ht="37.5" hidden="false" customHeight="true" outlineLevel="0" collapsed="false">
      <c r="A9" s="36" t="n">
        <v>5</v>
      </c>
      <c r="B9" s="37" t="s">
        <v>196</v>
      </c>
      <c r="C9" s="38" t="s">
        <v>197</v>
      </c>
      <c r="D9" s="39"/>
      <c r="E9" s="39"/>
      <c r="F9" s="38"/>
      <c r="G9" s="38"/>
      <c r="H9" s="38"/>
      <c r="I9" s="38"/>
    </row>
    <row r="10" customFormat="false" ht="37.5" hidden="false" customHeight="true" outlineLevel="0" collapsed="false">
      <c r="A10" s="40" t="n">
        <v>6</v>
      </c>
      <c r="B10" s="41" t="s">
        <v>198</v>
      </c>
      <c r="C10" s="42" t="s">
        <v>199</v>
      </c>
      <c r="D10" s="39"/>
      <c r="E10" s="43"/>
      <c r="F10" s="42"/>
      <c r="G10" s="42"/>
      <c r="H10" s="42"/>
      <c r="I10" s="42"/>
    </row>
    <row r="11" customFormat="false" ht="37.5" hidden="false" customHeight="true" outlineLevel="0" collapsed="false">
      <c r="A11" s="36" t="n">
        <v>7</v>
      </c>
      <c r="B11" s="37" t="s">
        <v>200</v>
      </c>
      <c r="C11" s="38" t="s">
        <v>201</v>
      </c>
      <c r="D11" s="39"/>
      <c r="E11" s="39"/>
      <c r="F11" s="38"/>
      <c r="G11" s="38"/>
      <c r="H11" s="38"/>
      <c r="I11" s="38"/>
    </row>
    <row r="12" customFormat="false" ht="37.5" hidden="false" customHeight="true" outlineLevel="0" collapsed="false">
      <c r="A12" s="40" t="n">
        <v>8</v>
      </c>
      <c r="B12" s="41" t="s">
        <v>202</v>
      </c>
      <c r="C12" s="42" t="s">
        <v>203</v>
      </c>
      <c r="D12" s="39"/>
      <c r="E12" s="43"/>
      <c r="F12" s="42"/>
      <c r="G12" s="42"/>
      <c r="H12" s="42"/>
      <c r="I12" s="42"/>
    </row>
    <row r="13" customFormat="false" ht="37.5" hidden="false" customHeight="true" outlineLevel="0" collapsed="false">
      <c r="A13" s="36" t="n">
        <v>9</v>
      </c>
      <c r="B13" s="37" t="s">
        <v>204</v>
      </c>
      <c r="C13" s="38" t="s">
        <v>205</v>
      </c>
      <c r="D13" s="39"/>
      <c r="E13" s="39"/>
      <c r="F13" s="38"/>
      <c r="G13" s="38"/>
      <c r="H13" s="38"/>
      <c r="I13" s="38"/>
    </row>
    <row r="14" customFormat="false" ht="37.5" hidden="false" customHeight="true" outlineLevel="0" collapsed="false">
      <c r="A14" s="40" t="n">
        <v>10</v>
      </c>
      <c r="B14" s="41" t="s">
        <v>206</v>
      </c>
      <c r="C14" s="42" t="s">
        <v>207</v>
      </c>
      <c r="D14" s="39"/>
      <c r="E14" s="43"/>
      <c r="F14" s="42"/>
      <c r="G14" s="42"/>
      <c r="H14" s="42"/>
      <c r="I14" s="42"/>
    </row>
    <row r="15" customFormat="false" ht="37.5" hidden="false" customHeight="true" outlineLevel="0" collapsed="false">
      <c r="A15" s="36" t="n">
        <v>11</v>
      </c>
      <c r="B15" s="37" t="s">
        <v>208</v>
      </c>
      <c r="C15" s="38" t="s">
        <v>209</v>
      </c>
      <c r="D15" s="39"/>
      <c r="E15" s="39"/>
      <c r="F15" s="38"/>
      <c r="G15" s="38"/>
      <c r="H15" s="38"/>
      <c r="I15" s="38"/>
    </row>
    <row r="16" customFormat="false" ht="37.5" hidden="false" customHeight="true" outlineLevel="0" collapsed="false">
      <c r="A16" s="40" t="n">
        <v>12</v>
      </c>
      <c r="B16" s="41" t="s">
        <v>210</v>
      </c>
      <c r="C16" s="42" t="s">
        <v>211</v>
      </c>
      <c r="D16" s="39"/>
      <c r="E16" s="43"/>
      <c r="F16" s="42"/>
      <c r="G16" s="42"/>
      <c r="H16" s="42"/>
      <c r="I16" s="42"/>
    </row>
    <row r="17" customFormat="false" ht="37.5" hidden="false" customHeight="true" outlineLevel="0" collapsed="false">
      <c r="A17" s="36" t="n">
        <v>13</v>
      </c>
      <c r="B17" s="37" t="s">
        <v>212</v>
      </c>
      <c r="C17" s="38" t="s">
        <v>213</v>
      </c>
      <c r="D17" s="39"/>
      <c r="E17" s="39"/>
      <c r="F17" s="38"/>
      <c r="G17" s="38"/>
      <c r="H17" s="38"/>
      <c r="I17" s="38"/>
    </row>
    <row r="18" customFormat="false" ht="37.5" hidden="false" customHeight="true" outlineLevel="0" collapsed="false">
      <c r="A18" s="40" t="n">
        <v>14</v>
      </c>
      <c r="B18" s="41" t="s">
        <v>214</v>
      </c>
      <c r="C18" s="42" t="s">
        <v>215</v>
      </c>
      <c r="D18" s="39"/>
      <c r="E18" s="43"/>
      <c r="F18" s="42"/>
      <c r="G18" s="42"/>
      <c r="H18" s="42"/>
      <c r="I18" s="42"/>
    </row>
    <row r="19" customFormat="false" ht="37.5" hidden="false" customHeight="true" outlineLevel="0" collapsed="false">
      <c r="A19" s="36" t="n">
        <v>15</v>
      </c>
      <c r="B19" s="37" t="s">
        <v>216</v>
      </c>
      <c r="C19" s="38" t="s">
        <v>217</v>
      </c>
      <c r="D19" s="39"/>
      <c r="E19" s="39"/>
      <c r="F19" s="38"/>
      <c r="G19" s="38"/>
      <c r="H19" s="38"/>
      <c r="I19" s="38"/>
    </row>
    <row r="20" customFormat="false" ht="37.5" hidden="false" customHeight="true" outlineLevel="0" collapsed="false">
      <c r="A20" s="40" t="n">
        <v>16</v>
      </c>
      <c r="B20" s="41" t="s">
        <v>218</v>
      </c>
      <c r="C20" s="42" t="s">
        <v>219</v>
      </c>
      <c r="D20" s="39"/>
      <c r="E20" s="43"/>
      <c r="F20" s="42"/>
      <c r="G20" s="42"/>
      <c r="H20" s="42"/>
      <c r="I20" s="42"/>
    </row>
    <row r="21" customFormat="false" ht="37.5" hidden="false" customHeight="true" outlineLevel="0" collapsed="false">
      <c r="A21" s="36" t="n">
        <v>17</v>
      </c>
      <c r="B21" s="37" t="s">
        <v>220</v>
      </c>
      <c r="C21" s="38" t="s">
        <v>221</v>
      </c>
      <c r="D21" s="39"/>
      <c r="E21" s="39"/>
      <c r="F21" s="38"/>
      <c r="G21" s="38"/>
      <c r="H21" s="38"/>
      <c r="I21" s="38"/>
    </row>
    <row r="22" customFormat="false" ht="37.5" hidden="false" customHeight="true" outlineLevel="0" collapsed="false">
      <c r="A22" s="40" t="n">
        <v>18</v>
      </c>
      <c r="B22" s="41" t="s">
        <v>222</v>
      </c>
      <c r="C22" s="42" t="s">
        <v>223</v>
      </c>
      <c r="D22" s="39"/>
      <c r="E22" s="43"/>
      <c r="F22" s="42"/>
      <c r="G22" s="42"/>
      <c r="H22" s="42"/>
      <c r="I22" s="42"/>
    </row>
    <row r="23" customFormat="false" ht="37.5" hidden="false" customHeight="true" outlineLevel="0" collapsed="false">
      <c r="A23" s="36" t="n">
        <v>19</v>
      </c>
      <c r="B23" s="37" t="s">
        <v>224</v>
      </c>
      <c r="C23" s="38" t="s">
        <v>225</v>
      </c>
      <c r="D23" s="39"/>
      <c r="E23" s="39"/>
      <c r="F23" s="38"/>
      <c r="G23" s="38"/>
      <c r="H23" s="38"/>
      <c r="I23" s="38"/>
    </row>
    <row r="24" customFormat="false" ht="37.5" hidden="false" customHeight="true" outlineLevel="0" collapsed="false">
      <c r="A24" s="40" t="n">
        <v>20</v>
      </c>
      <c r="B24" s="41" t="s">
        <v>226</v>
      </c>
      <c r="C24" s="42" t="s">
        <v>227</v>
      </c>
      <c r="D24" s="39"/>
      <c r="E24" s="43"/>
      <c r="F24" s="42"/>
      <c r="G24" s="42"/>
      <c r="H24" s="42"/>
      <c r="I24" s="42"/>
    </row>
    <row r="25" customFormat="false" ht="37.5" hidden="false" customHeight="true" outlineLevel="0" collapsed="false">
      <c r="A25" s="36" t="n">
        <v>21</v>
      </c>
      <c r="B25" s="37" t="s">
        <v>228</v>
      </c>
      <c r="C25" s="38" t="s">
        <v>229</v>
      </c>
      <c r="D25" s="39"/>
      <c r="E25" s="39"/>
      <c r="F25" s="38"/>
      <c r="G25" s="38"/>
      <c r="H25" s="38"/>
      <c r="I25" s="38"/>
    </row>
    <row r="26" customFormat="false" ht="37.5" hidden="false" customHeight="true" outlineLevel="0" collapsed="false">
      <c r="A26" s="40" t="n">
        <v>22</v>
      </c>
      <c r="B26" s="41" t="s">
        <v>230</v>
      </c>
      <c r="C26" s="42" t="s">
        <v>231</v>
      </c>
      <c r="D26" s="39"/>
      <c r="E26" s="43"/>
      <c r="F26" s="42"/>
      <c r="G26" s="42"/>
      <c r="H26" s="42"/>
      <c r="I26" s="42"/>
    </row>
    <row r="27" customFormat="false" ht="37.5" hidden="false" customHeight="true" outlineLevel="0" collapsed="false">
      <c r="A27" s="36" t="n">
        <v>23</v>
      </c>
      <c r="B27" s="37" t="s">
        <v>232</v>
      </c>
      <c r="C27" s="38" t="s">
        <v>233</v>
      </c>
      <c r="D27" s="39"/>
      <c r="E27" s="39"/>
      <c r="F27" s="38"/>
      <c r="G27" s="38"/>
      <c r="H27" s="38"/>
      <c r="I27" s="38"/>
    </row>
    <row r="28" customFormat="false" ht="37.5" hidden="false" customHeight="true" outlineLevel="0" collapsed="false">
      <c r="A28" s="40" t="n">
        <v>24</v>
      </c>
      <c r="B28" s="41" t="s">
        <v>234</v>
      </c>
      <c r="C28" s="42" t="s">
        <v>235</v>
      </c>
      <c r="D28" s="39"/>
      <c r="E28" s="43"/>
      <c r="F28" s="42"/>
      <c r="G28" s="42"/>
      <c r="H28" s="42"/>
      <c r="I28" s="42"/>
    </row>
    <row r="29" customFormat="false" ht="37.5" hidden="false" customHeight="true" outlineLevel="0" collapsed="false">
      <c r="A29" s="36" t="n">
        <v>25</v>
      </c>
      <c r="B29" s="37" t="s">
        <v>236</v>
      </c>
      <c r="C29" s="38" t="s">
        <v>237</v>
      </c>
      <c r="D29" s="39"/>
      <c r="E29" s="39"/>
      <c r="F29" s="38"/>
      <c r="G29" s="38"/>
      <c r="H29" s="38"/>
      <c r="I29" s="38"/>
    </row>
    <row r="30" customFormat="false" ht="37.5" hidden="false" customHeight="true" outlineLevel="0" collapsed="false">
      <c r="A30" s="40" t="n">
        <v>26</v>
      </c>
      <c r="B30" s="41" t="s">
        <v>238</v>
      </c>
      <c r="C30" s="42" t="s">
        <v>239</v>
      </c>
      <c r="D30" s="39"/>
      <c r="E30" s="43"/>
      <c r="F30" s="42"/>
      <c r="G30" s="42"/>
      <c r="H30" s="42"/>
      <c r="I30" s="42"/>
    </row>
    <row r="31" customFormat="false" ht="37.5" hidden="false" customHeight="true" outlineLevel="0" collapsed="false">
      <c r="A31" s="36" t="n">
        <v>27</v>
      </c>
      <c r="B31" s="37" t="s">
        <v>240</v>
      </c>
      <c r="C31" s="38" t="s">
        <v>241</v>
      </c>
      <c r="D31" s="39"/>
      <c r="E31" s="39"/>
      <c r="F31" s="38"/>
      <c r="G31" s="38"/>
      <c r="H31" s="38"/>
      <c r="I31" s="38"/>
    </row>
    <row r="32" customFormat="false" ht="37.5" hidden="false" customHeight="true" outlineLevel="0" collapsed="false">
      <c r="A32" s="40" t="n">
        <v>28</v>
      </c>
      <c r="B32" s="41" t="s">
        <v>242</v>
      </c>
      <c r="C32" s="42" t="s">
        <v>243</v>
      </c>
      <c r="D32" s="39"/>
      <c r="E32" s="43"/>
      <c r="F32" s="42"/>
      <c r="G32" s="42"/>
      <c r="H32" s="42"/>
      <c r="I32" s="42"/>
    </row>
    <row r="33" customFormat="false" ht="37.5" hidden="false" customHeight="true" outlineLevel="0" collapsed="false">
      <c r="A33" s="36" t="n">
        <v>29</v>
      </c>
      <c r="B33" s="37" t="s">
        <v>244</v>
      </c>
      <c r="C33" s="38" t="s">
        <v>245</v>
      </c>
      <c r="D33" s="39"/>
      <c r="E33" s="39"/>
      <c r="F33" s="38"/>
      <c r="G33" s="38"/>
      <c r="H33" s="38"/>
      <c r="I33" s="38"/>
    </row>
    <row r="34" customFormat="false" ht="37.5" hidden="false" customHeight="true" outlineLevel="0" collapsed="false">
      <c r="A34" s="40" t="n">
        <v>30</v>
      </c>
      <c r="B34" s="41" t="s">
        <v>246</v>
      </c>
      <c r="C34" s="42" t="s">
        <v>247</v>
      </c>
      <c r="D34" s="39"/>
      <c r="E34" s="43"/>
      <c r="F34" s="42"/>
      <c r="G34" s="42"/>
      <c r="H34" s="42"/>
      <c r="I34" s="42"/>
    </row>
    <row r="35" customFormat="false" ht="37.5" hidden="false" customHeight="true" outlineLevel="0" collapsed="false">
      <c r="A35" s="36" t="n">
        <v>31</v>
      </c>
      <c r="B35" s="37" t="s">
        <v>248</v>
      </c>
      <c r="C35" s="38" t="s">
        <v>249</v>
      </c>
      <c r="D35" s="39"/>
      <c r="E35" s="39"/>
      <c r="F35" s="38"/>
      <c r="G35" s="38"/>
      <c r="H35" s="38"/>
      <c r="I35" s="38"/>
    </row>
    <row r="36" customFormat="false" ht="37.5" hidden="false" customHeight="true" outlineLevel="0" collapsed="false">
      <c r="A36" s="40" t="n">
        <v>32</v>
      </c>
      <c r="B36" s="41" t="s">
        <v>250</v>
      </c>
      <c r="C36" s="42" t="s">
        <v>251</v>
      </c>
      <c r="D36" s="39"/>
      <c r="E36" s="43"/>
      <c r="F36" s="42"/>
      <c r="G36" s="42"/>
      <c r="H36" s="42"/>
      <c r="I36" s="42"/>
    </row>
    <row r="37" customFormat="false" ht="37.5" hidden="false" customHeight="true" outlineLevel="0" collapsed="false">
      <c r="A37" s="36" t="n">
        <v>33</v>
      </c>
      <c r="B37" s="37" t="s">
        <v>252</v>
      </c>
      <c r="C37" s="38" t="s">
        <v>253</v>
      </c>
      <c r="D37" s="39"/>
      <c r="E37" s="39"/>
      <c r="F37" s="38"/>
      <c r="G37" s="38"/>
      <c r="H37" s="38"/>
      <c r="I37" s="38"/>
    </row>
    <row r="38" customFormat="false" ht="37.5" hidden="false" customHeight="true" outlineLevel="0" collapsed="false">
      <c r="A38" s="40" t="n">
        <v>34</v>
      </c>
      <c r="B38" s="41" t="s">
        <v>254</v>
      </c>
      <c r="C38" s="42" t="s">
        <v>255</v>
      </c>
      <c r="D38" s="39"/>
      <c r="E38" s="43"/>
      <c r="F38" s="42"/>
      <c r="G38" s="42"/>
      <c r="H38" s="42"/>
      <c r="I38" s="42"/>
    </row>
    <row r="39" customFormat="false" ht="37.5" hidden="false" customHeight="true" outlineLevel="0" collapsed="false">
      <c r="A39" s="36" t="n">
        <v>35</v>
      </c>
      <c r="B39" s="37" t="s">
        <v>256</v>
      </c>
      <c r="C39" s="38" t="s">
        <v>257</v>
      </c>
      <c r="D39" s="39"/>
      <c r="E39" s="39"/>
      <c r="F39" s="38"/>
      <c r="G39" s="38"/>
      <c r="H39" s="38"/>
      <c r="I39" s="38"/>
    </row>
  </sheetData>
  <autoFilter ref="A4:I39"/>
  <mergeCells count="2">
    <mergeCell ref="A1:I1"/>
    <mergeCell ref="A2:I2"/>
  </mergeCells>
  <conditionalFormatting sqref="D5:D39">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258</v>
      </c>
      <c r="B1" s="35"/>
      <c r="C1" s="35"/>
      <c r="D1" s="35"/>
      <c r="E1" s="35"/>
      <c r="F1" s="35"/>
      <c r="G1" s="35"/>
      <c r="H1" s="35"/>
      <c r="I1" s="35"/>
    </row>
    <row r="2" customFormat="false" ht="19.5" hidden="false" customHeight="true" outlineLevel="0" collapsed="false">
      <c r="A2" s="18" t="s">
        <v>259</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260</v>
      </c>
      <c r="C5" s="38" t="s">
        <v>261</v>
      </c>
      <c r="D5" s="39"/>
      <c r="E5" s="39"/>
      <c r="F5" s="38"/>
      <c r="G5" s="38"/>
      <c r="H5" s="38"/>
      <c r="I5" s="38"/>
    </row>
    <row r="6" customFormat="false" ht="37.5" hidden="false" customHeight="true" outlineLevel="0" collapsed="false">
      <c r="A6" s="40" t="n">
        <v>2</v>
      </c>
      <c r="B6" s="41" t="s">
        <v>262</v>
      </c>
      <c r="C6" s="42" t="s">
        <v>263</v>
      </c>
      <c r="D6" s="39"/>
      <c r="E6" s="43"/>
      <c r="F6" s="42"/>
      <c r="G6" s="42"/>
      <c r="H6" s="42"/>
      <c r="I6" s="42"/>
    </row>
    <row r="7" customFormat="false" ht="37.5" hidden="false" customHeight="true" outlineLevel="0" collapsed="false">
      <c r="A7" s="36" t="n">
        <v>3</v>
      </c>
      <c r="B7" s="37" t="s">
        <v>264</v>
      </c>
      <c r="C7" s="38" t="s">
        <v>265</v>
      </c>
      <c r="D7" s="39"/>
      <c r="E7" s="39"/>
      <c r="F7" s="38"/>
      <c r="G7" s="38"/>
      <c r="H7" s="38"/>
      <c r="I7" s="38"/>
    </row>
    <row r="8" customFormat="false" ht="37.5" hidden="false" customHeight="true" outlineLevel="0" collapsed="false">
      <c r="A8" s="40" t="n">
        <v>4</v>
      </c>
      <c r="B8" s="41" t="s">
        <v>266</v>
      </c>
      <c r="C8" s="42" t="s">
        <v>267</v>
      </c>
      <c r="D8" s="39"/>
      <c r="E8" s="43"/>
      <c r="F8" s="42"/>
      <c r="G8" s="42"/>
      <c r="H8" s="42"/>
      <c r="I8" s="42"/>
    </row>
    <row r="9" customFormat="false" ht="37.5" hidden="false" customHeight="true" outlineLevel="0" collapsed="false">
      <c r="A9" s="36" t="n">
        <v>5</v>
      </c>
      <c r="B9" s="37" t="s">
        <v>268</v>
      </c>
      <c r="C9" s="38" t="s">
        <v>269</v>
      </c>
      <c r="D9" s="39"/>
      <c r="E9" s="39"/>
      <c r="F9" s="38"/>
      <c r="G9" s="38"/>
      <c r="H9" s="38"/>
      <c r="I9" s="38"/>
    </row>
    <row r="10" customFormat="false" ht="37.5" hidden="false" customHeight="true" outlineLevel="0" collapsed="false">
      <c r="A10" s="40" t="n">
        <v>6</v>
      </c>
      <c r="B10" s="41" t="s">
        <v>270</v>
      </c>
      <c r="C10" s="42" t="s">
        <v>271</v>
      </c>
      <c r="D10" s="39"/>
      <c r="E10" s="43"/>
      <c r="F10" s="42"/>
      <c r="G10" s="42"/>
      <c r="H10" s="42"/>
      <c r="I10" s="42"/>
    </row>
    <row r="11" customFormat="false" ht="37.5" hidden="false" customHeight="true" outlineLevel="0" collapsed="false">
      <c r="A11" s="36" t="n">
        <v>7</v>
      </c>
      <c r="B11" s="37" t="s">
        <v>272</v>
      </c>
      <c r="C11" s="38" t="s">
        <v>273</v>
      </c>
      <c r="D11" s="39"/>
      <c r="E11" s="39"/>
      <c r="F11" s="38"/>
      <c r="G11" s="38"/>
      <c r="H11" s="38"/>
      <c r="I11" s="38"/>
    </row>
    <row r="12" customFormat="false" ht="37.5" hidden="false" customHeight="true" outlineLevel="0" collapsed="false">
      <c r="A12" s="40" t="n">
        <v>8</v>
      </c>
      <c r="B12" s="41" t="s">
        <v>274</v>
      </c>
      <c r="C12" s="42" t="s">
        <v>275</v>
      </c>
      <c r="D12" s="39"/>
      <c r="E12" s="43"/>
      <c r="F12" s="42"/>
      <c r="G12" s="42"/>
      <c r="H12" s="42"/>
      <c r="I12" s="42"/>
    </row>
    <row r="13" customFormat="false" ht="37.5" hidden="false" customHeight="true" outlineLevel="0" collapsed="false">
      <c r="A13" s="36" t="n">
        <v>9</v>
      </c>
      <c r="B13" s="37" t="s">
        <v>276</v>
      </c>
      <c r="C13" s="38" t="s">
        <v>277</v>
      </c>
      <c r="D13" s="39"/>
      <c r="E13" s="39"/>
      <c r="F13" s="38"/>
      <c r="G13" s="38"/>
      <c r="H13" s="38"/>
      <c r="I13" s="38"/>
    </row>
    <row r="14" customFormat="false" ht="37.5" hidden="false" customHeight="true" outlineLevel="0" collapsed="false">
      <c r="A14" s="40" t="n">
        <v>10</v>
      </c>
      <c r="B14" s="41" t="s">
        <v>278</v>
      </c>
      <c r="C14" s="42" t="s">
        <v>279</v>
      </c>
      <c r="D14" s="39"/>
      <c r="E14" s="43"/>
      <c r="F14" s="42"/>
      <c r="G14" s="42"/>
      <c r="H14" s="42"/>
      <c r="I14" s="42"/>
    </row>
    <row r="15" customFormat="false" ht="37.5" hidden="false" customHeight="true" outlineLevel="0" collapsed="false">
      <c r="A15" s="36" t="n">
        <v>11</v>
      </c>
      <c r="B15" s="37" t="s">
        <v>280</v>
      </c>
      <c r="C15" s="38" t="s">
        <v>281</v>
      </c>
      <c r="D15" s="39"/>
      <c r="E15" s="39"/>
      <c r="F15" s="38"/>
      <c r="G15" s="38"/>
      <c r="H15" s="38"/>
      <c r="I15" s="38"/>
    </row>
    <row r="16" customFormat="false" ht="37.5" hidden="false" customHeight="true" outlineLevel="0" collapsed="false">
      <c r="A16" s="40" t="n">
        <v>12</v>
      </c>
      <c r="B16" s="41" t="s">
        <v>282</v>
      </c>
      <c r="C16" s="42" t="s">
        <v>143</v>
      </c>
      <c r="D16" s="39"/>
      <c r="E16" s="43"/>
      <c r="F16" s="42"/>
      <c r="G16" s="42"/>
      <c r="H16" s="42"/>
      <c r="I16" s="42"/>
    </row>
    <row r="17" customFormat="false" ht="37.5" hidden="false" customHeight="true" outlineLevel="0" collapsed="false">
      <c r="A17" s="36" t="n">
        <v>13</v>
      </c>
      <c r="B17" s="37" t="s">
        <v>283</v>
      </c>
      <c r="C17" s="38" t="s">
        <v>284</v>
      </c>
      <c r="D17" s="39"/>
      <c r="E17" s="39"/>
      <c r="F17" s="38"/>
      <c r="G17" s="38"/>
      <c r="H17" s="38"/>
      <c r="I17" s="38"/>
    </row>
    <row r="18" customFormat="false" ht="37.5" hidden="false" customHeight="true" outlineLevel="0" collapsed="false">
      <c r="A18" s="40" t="n">
        <v>14</v>
      </c>
      <c r="B18" s="41" t="s">
        <v>285</v>
      </c>
      <c r="C18" s="42" t="s">
        <v>286</v>
      </c>
      <c r="D18" s="39"/>
      <c r="E18" s="43"/>
      <c r="F18" s="42"/>
      <c r="G18" s="42"/>
      <c r="H18" s="42"/>
      <c r="I18" s="42"/>
    </row>
    <row r="19" customFormat="false" ht="37.5" hidden="false" customHeight="true" outlineLevel="0" collapsed="false">
      <c r="A19" s="36" t="n">
        <v>15</v>
      </c>
      <c r="B19" s="37" t="s">
        <v>287</v>
      </c>
      <c r="C19" s="38" t="s">
        <v>288</v>
      </c>
      <c r="D19" s="39"/>
      <c r="E19" s="39"/>
      <c r="F19" s="38"/>
      <c r="G19" s="38"/>
      <c r="H19" s="38"/>
      <c r="I19" s="38"/>
    </row>
    <row r="20" customFormat="false" ht="37.5" hidden="false" customHeight="true" outlineLevel="0" collapsed="false">
      <c r="A20" s="40" t="n">
        <v>16</v>
      </c>
      <c r="B20" s="41" t="s">
        <v>289</v>
      </c>
      <c r="C20" s="42" t="s">
        <v>290</v>
      </c>
      <c r="D20" s="39"/>
      <c r="E20" s="43"/>
      <c r="F20" s="42"/>
      <c r="G20" s="42"/>
      <c r="H20" s="42"/>
      <c r="I20" s="42"/>
    </row>
    <row r="21" customFormat="false" ht="37.5" hidden="false" customHeight="true" outlineLevel="0" collapsed="false">
      <c r="A21" s="36" t="n">
        <v>17</v>
      </c>
      <c r="B21" s="37" t="s">
        <v>291</v>
      </c>
      <c r="C21" s="38" t="s">
        <v>292</v>
      </c>
      <c r="D21" s="39"/>
      <c r="E21" s="39"/>
      <c r="F21" s="38"/>
      <c r="G21" s="38"/>
      <c r="H21" s="38"/>
      <c r="I21" s="38"/>
    </row>
    <row r="22" customFormat="false" ht="37.5" hidden="false" customHeight="true" outlineLevel="0" collapsed="false">
      <c r="A22" s="40" t="n">
        <v>18</v>
      </c>
      <c r="B22" s="41" t="s">
        <v>293</v>
      </c>
      <c r="C22" s="42" t="s">
        <v>294</v>
      </c>
      <c r="D22" s="39"/>
      <c r="E22" s="43"/>
      <c r="F22" s="42"/>
      <c r="G22" s="42"/>
      <c r="H22" s="42"/>
      <c r="I22" s="42"/>
    </row>
    <row r="23" customFormat="false" ht="37.5" hidden="false" customHeight="true" outlineLevel="0" collapsed="false">
      <c r="A23" s="36" t="n">
        <v>19</v>
      </c>
      <c r="B23" s="37" t="s">
        <v>295</v>
      </c>
      <c r="C23" s="38" t="s">
        <v>296</v>
      </c>
      <c r="D23" s="39"/>
      <c r="E23" s="39"/>
      <c r="F23" s="38"/>
      <c r="G23" s="38"/>
      <c r="H23" s="38"/>
      <c r="I23" s="38"/>
    </row>
    <row r="24" customFormat="false" ht="37.5" hidden="false" customHeight="true" outlineLevel="0" collapsed="false">
      <c r="A24" s="40" t="n">
        <v>20</v>
      </c>
      <c r="B24" s="41" t="s">
        <v>297</v>
      </c>
      <c r="C24" s="42" t="s">
        <v>298</v>
      </c>
      <c r="D24" s="39"/>
      <c r="E24" s="43"/>
      <c r="F24" s="42"/>
      <c r="G24" s="42"/>
      <c r="H24" s="42"/>
      <c r="I24" s="42"/>
    </row>
    <row r="25" customFormat="false" ht="37.5" hidden="false" customHeight="true" outlineLevel="0" collapsed="false">
      <c r="A25" s="36" t="n">
        <v>21</v>
      </c>
      <c r="B25" s="37" t="s">
        <v>299</v>
      </c>
      <c r="C25" s="38" t="s">
        <v>300</v>
      </c>
      <c r="D25" s="39"/>
      <c r="E25" s="39"/>
      <c r="F25" s="38"/>
      <c r="G25" s="38"/>
      <c r="H25" s="38"/>
      <c r="I25" s="38"/>
    </row>
    <row r="26" customFormat="false" ht="37.5" hidden="false" customHeight="true" outlineLevel="0" collapsed="false">
      <c r="A26" s="40" t="n">
        <v>22</v>
      </c>
      <c r="B26" s="41" t="s">
        <v>301</v>
      </c>
      <c r="C26" s="42" t="s">
        <v>203</v>
      </c>
      <c r="D26" s="39"/>
      <c r="E26" s="43"/>
      <c r="F26" s="42"/>
      <c r="G26" s="42"/>
      <c r="H26" s="42"/>
      <c r="I26" s="42"/>
    </row>
    <row r="27" customFormat="false" ht="37.5" hidden="false" customHeight="true" outlineLevel="0" collapsed="false">
      <c r="A27" s="36" t="n">
        <v>23</v>
      </c>
      <c r="B27" s="37" t="s">
        <v>302</v>
      </c>
      <c r="C27" s="38" t="s">
        <v>303</v>
      </c>
      <c r="D27" s="39"/>
      <c r="E27" s="39"/>
      <c r="F27" s="38"/>
      <c r="G27" s="38"/>
      <c r="H27" s="38"/>
      <c r="I27" s="38"/>
    </row>
    <row r="28" customFormat="false" ht="37.5" hidden="false" customHeight="true" outlineLevel="0" collapsed="false">
      <c r="A28" s="40" t="n">
        <v>24</v>
      </c>
      <c r="B28" s="41" t="s">
        <v>304</v>
      </c>
      <c r="C28" s="42" t="s">
        <v>305</v>
      </c>
      <c r="D28" s="39"/>
      <c r="E28" s="43"/>
      <c r="F28" s="42"/>
      <c r="G28" s="42"/>
      <c r="H28" s="42"/>
      <c r="I28" s="42"/>
    </row>
    <row r="29" customFormat="false" ht="37.5" hidden="false" customHeight="true" outlineLevel="0" collapsed="false">
      <c r="A29" s="36" t="n">
        <v>25</v>
      </c>
      <c r="B29" s="37" t="s">
        <v>306</v>
      </c>
      <c r="C29" s="38" t="s">
        <v>307</v>
      </c>
      <c r="D29" s="39"/>
      <c r="E29" s="39"/>
      <c r="F29" s="38"/>
      <c r="G29" s="38"/>
      <c r="H29" s="38"/>
      <c r="I29" s="38"/>
    </row>
    <row r="30" customFormat="false" ht="37.5" hidden="false" customHeight="true" outlineLevel="0" collapsed="false">
      <c r="A30" s="40" t="n">
        <v>26</v>
      </c>
      <c r="B30" s="41" t="s">
        <v>308</v>
      </c>
      <c r="C30" s="42" t="s">
        <v>309</v>
      </c>
      <c r="D30" s="39"/>
      <c r="E30" s="43"/>
      <c r="F30" s="42"/>
      <c r="G30" s="42"/>
      <c r="H30" s="42"/>
      <c r="I30" s="42"/>
    </row>
    <row r="31" customFormat="false" ht="37.5" hidden="false" customHeight="true" outlineLevel="0" collapsed="false">
      <c r="A31" s="36" t="n">
        <v>27</v>
      </c>
      <c r="B31" s="37" t="s">
        <v>310</v>
      </c>
      <c r="C31" s="38" t="s">
        <v>311</v>
      </c>
      <c r="D31" s="39"/>
      <c r="E31" s="39"/>
      <c r="F31" s="38"/>
      <c r="G31" s="38"/>
      <c r="H31" s="38"/>
      <c r="I31" s="38"/>
    </row>
    <row r="32" customFormat="false" ht="37.5" hidden="false" customHeight="true" outlineLevel="0" collapsed="false">
      <c r="A32" s="40" t="n">
        <v>28</v>
      </c>
      <c r="B32" s="41" t="s">
        <v>312</v>
      </c>
      <c r="C32" s="42" t="s">
        <v>313</v>
      </c>
      <c r="D32" s="39"/>
      <c r="E32" s="43"/>
      <c r="F32" s="42"/>
      <c r="G32" s="42"/>
      <c r="H32" s="42"/>
      <c r="I32" s="42"/>
    </row>
    <row r="33" customFormat="false" ht="37.5" hidden="false" customHeight="true" outlineLevel="0" collapsed="false">
      <c r="A33" s="36" t="n">
        <v>29</v>
      </c>
      <c r="B33" s="37" t="s">
        <v>314</v>
      </c>
      <c r="C33" s="38" t="s">
        <v>315</v>
      </c>
      <c r="D33" s="39"/>
      <c r="E33" s="39"/>
      <c r="F33" s="38"/>
      <c r="G33" s="38"/>
      <c r="H33" s="38"/>
      <c r="I33" s="38"/>
    </row>
    <row r="34" customFormat="false" ht="37.5" hidden="false" customHeight="true" outlineLevel="0" collapsed="false">
      <c r="A34" s="40" t="n">
        <v>30</v>
      </c>
      <c r="B34" s="41" t="s">
        <v>316</v>
      </c>
      <c r="C34" s="42" t="s">
        <v>317</v>
      </c>
      <c r="D34" s="39"/>
      <c r="E34" s="43"/>
      <c r="F34" s="42"/>
      <c r="G34" s="42"/>
      <c r="H34" s="42"/>
      <c r="I34" s="42"/>
    </row>
    <row r="35" customFormat="false" ht="37.5" hidden="false" customHeight="true" outlineLevel="0" collapsed="false">
      <c r="A35" s="36" t="n">
        <v>31</v>
      </c>
      <c r="B35" s="37" t="s">
        <v>318</v>
      </c>
      <c r="C35" s="38" t="s">
        <v>319</v>
      </c>
      <c r="D35" s="39"/>
      <c r="E35" s="39"/>
      <c r="F35" s="38"/>
      <c r="G35" s="38"/>
      <c r="H35" s="38"/>
      <c r="I35" s="38"/>
    </row>
    <row r="36" customFormat="false" ht="37.5" hidden="false" customHeight="true" outlineLevel="0" collapsed="false">
      <c r="A36" s="40" t="n">
        <v>32</v>
      </c>
      <c r="B36" s="41" t="s">
        <v>320</v>
      </c>
      <c r="C36" s="42" t="s">
        <v>321</v>
      </c>
      <c r="D36" s="39"/>
      <c r="E36" s="43"/>
      <c r="F36" s="42"/>
      <c r="G36" s="42"/>
      <c r="H36" s="42"/>
      <c r="I36" s="42"/>
    </row>
    <row r="37" customFormat="false" ht="37.5" hidden="false" customHeight="true" outlineLevel="0" collapsed="false">
      <c r="A37" s="36" t="n">
        <v>33</v>
      </c>
      <c r="B37" s="37" t="s">
        <v>322</v>
      </c>
      <c r="C37" s="38" t="s">
        <v>323</v>
      </c>
      <c r="D37" s="39"/>
      <c r="E37" s="39"/>
      <c r="F37" s="38"/>
      <c r="G37" s="38"/>
      <c r="H37" s="38"/>
      <c r="I37" s="38"/>
    </row>
    <row r="38" customFormat="false" ht="37.5" hidden="false" customHeight="true" outlineLevel="0" collapsed="false">
      <c r="A38" s="40" t="n">
        <v>34</v>
      </c>
      <c r="B38" s="41" t="s">
        <v>324</v>
      </c>
      <c r="C38" s="42" t="s">
        <v>325</v>
      </c>
      <c r="D38" s="39"/>
      <c r="E38" s="43"/>
      <c r="F38" s="42"/>
      <c r="G38" s="42"/>
      <c r="H38" s="42"/>
      <c r="I38" s="42"/>
    </row>
    <row r="39" customFormat="false" ht="37.5" hidden="false" customHeight="true" outlineLevel="0" collapsed="false">
      <c r="A39" s="36" t="n">
        <v>35</v>
      </c>
      <c r="B39" s="37" t="s">
        <v>326</v>
      </c>
      <c r="C39" s="38" t="s">
        <v>327</v>
      </c>
      <c r="D39" s="39"/>
      <c r="E39" s="39"/>
      <c r="F39" s="38"/>
      <c r="G39" s="38"/>
      <c r="H39" s="38"/>
      <c r="I39" s="38"/>
    </row>
    <row r="40" customFormat="false" ht="37.5" hidden="false" customHeight="true" outlineLevel="0" collapsed="false">
      <c r="A40" s="40" t="n">
        <v>36</v>
      </c>
      <c r="B40" s="41" t="s">
        <v>328</v>
      </c>
      <c r="C40" s="42" t="s">
        <v>329</v>
      </c>
      <c r="D40" s="39"/>
      <c r="E40" s="43"/>
      <c r="F40" s="42"/>
      <c r="G40" s="42"/>
      <c r="H40" s="42"/>
      <c r="I40" s="42"/>
    </row>
    <row r="41" customFormat="false" ht="37.5" hidden="false" customHeight="true" outlineLevel="0" collapsed="false">
      <c r="A41" s="36" t="n">
        <v>37</v>
      </c>
      <c r="B41" s="37" t="s">
        <v>330</v>
      </c>
      <c r="C41" s="38" t="s">
        <v>331</v>
      </c>
      <c r="D41" s="39"/>
      <c r="E41" s="39"/>
      <c r="F41" s="38"/>
      <c r="G41" s="38"/>
      <c r="H41" s="38"/>
      <c r="I41" s="38"/>
    </row>
    <row r="42" customFormat="false" ht="37.5" hidden="false" customHeight="true" outlineLevel="0" collapsed="false">
      <c r="A42" s="40" t="n">
        <v>38</v>
      </c>
      <c r="B42" s="41" t="s">
        <v>332</v>
      </c>
      <c r="C42" s="42" t="s">
        <v>333</v>
      </c>
      <c r="D42" s="39"/>
      <c r="E42" s="43"/>
      <c r="F42" s="42"/>
      <c r="G42" s="42"/>
      <c r="H42" s="42"/>
      <c r="I42" s="42"/>
    </row>
    <row r="43" customFormat="false" ht="37.5" hidden="false" customHeight="true" outlineLevel="0" collapsed="false">
      <c r="A43" s="36" t="n">
        <v>39</v>
      </c>
      <c r="B43" s="37" t="s">
        <v>334</v>
      </c>
      <c r="C43" s="38" t="s">
        <v>335</v>
      </c>
      <c r="D43" s="39"/>
      <c r="E43" s="39"/>
      <c r="F43" s="38"/>
      <c r="G43" s="38"/>
      <c r="H43" s="38"/>
      <c r="I43" s="38"/>
    </row>
    <row r="44" customFormat="false" ht="37.5" hidden="false" customHeight="true" outlineLevel="0" collapsed="false">
      <c r="A44" s="40" t="n">
        <v>40</v>
      </c>
      <c r="B44" s="41" t="s">
        <v>336</v>
      </c>
      <c r="C44" s="42" t="s">
        <v>337</v>
      </c>
      <c r="D44" s="39"/>
      <c r="E44" s="43"/>
      <c r="F44" s="42"/>
      <c r="G44" s="42"/>
      <c r="H44" s="42"/>
      <c r="I44" s="42"/>
    </row>
    <row r="45" customFormat="false" ht="37.5" hidden="false" customHeight="true" outlineLevel="0" collapsed="false">
      <c r="A45" s="36" t="n">
        <v>41</v>
      </c>
      <c r="B45" s="37" t="s">
        <v>338</v>
      </c>
      <c r="C45" s="38" t="s">
        <v>339</v>
      </c>
      <c r="D45" s="39"/>
      <c r="E45" s="39"/>
      <c r="F45" s="38"/>
      <c r="G45" s="38"/>
      <c r="H45" s="38"/>
      <c r="I45" s="38"/>
    </row>
    <row r="46" customFormat="false" ht="37.5" hidden="false" customHeight="true" outlineLevel="0" collapsed="false">
      <c r="A46" s="40" t="n">
        <v>42</v>
      </c>
      <c r="B46" s="41" t="s">
        <v>340</v>
      </c>
      <c r="C46" s="42" t="s">
        <v>341</v>
      </c>
      <c r="D46" s="39"/>
      <c r="E46" s="43"/>
      <c r="F46" s="42"/>
      <c r="G46" s="42"/>
      <c r="H46" s="42"/>
      <c r="I46" s="42"/>
    </row>
    <row r="47" customFormat="false" ht="37.5" hidden="false" customHeight="true" outlineLevel="0" collapsed="false">
      <c r="A47" s="36" t="n">
        <v>43</v>
      </c>
      <c r="B47" s="37" t="s">
        <v>342</v>
      </c>
      <c r="C47" s="38" t="s">
        <v>343</v>
      </c>
      <c r="D47" s="39"/>
      <c r="E47" s="39"/>
      <c r="F47" s="38"/>
      <c r="G47" s="38"/>
      <c r="H47" s="38"/>
      <c r="I47" s="38"/>
    </row>
    <row r="48" customFormat="false" ht="37.5" hidden="false" customHeight="true" outlineLevel="0" collapsed="false">
      <c r="A48" s="40" t="n">
        <v>44</v>
      </c>
      <c r="B48" s="41" t="s">
        <v>344</v>
      </c>
      <c r="C48" s="42" t="s">
        <v>345</v>
      </c>
      <c r="D48" s="39"/>
      <c r="E48" s="43"/>
      <c r="F48" s="42"/>
      <c r="G48" s="42"/>
      <c r="H48" s="42"/>
      <c r="I48" s="42"/>
    </row>
    <row r="49" customFormat="false" ht="37.5" hidden="false" customHeight="true" outlineLevel="0" collapsed="false">
      <c r="A49" s="36" t="n">
        <v>45</v>
      </c>
      <c r="B49" s="37" t="s">
        <v>346</v>
      </c>
      <c r="C49" s="38" t="s">
        <v>347</v>
      </c>
      <c r="D49" s="39"/>
      <c r="E49" s="39"/>
      <c r="F49" s="38"/>
      <c r="G49" s="38"/>
      <c r="H49" s="38"/>
      <c r="I49" s="38"/>
    </row>
    <row r="50" customFormat="false" ht="37.5" hidden="false" customHeight="true" outlineLevel="0" collapsed="false">
      <c r="A50" s="40" t="n">
        <v>46</v>
      </c>
      <c r="B50" s="41" t="s">
        <v>348</v>
      </c>
      <c r="C50" s="42" t="s">
        <v>349</v>
      </c>
      <c r="D50" s="39"/>
      <c r="E50" s="43"/>
      <c r="F50" s="42"/>
      <c r="G50" s="42"/>
      <c r="H50" s="42"/>
      <c r="I50" s="42"/>
    </row>
    <row r="51" customFormat="false" ht="37.5" hidden="false" customHeight="true" outlineLevel="0" collapsed="false">
      <c r="A51" s="36" t="n">
        <v>47</v>
      </c>
      <c r="B51" s="37" t="s">
        <v>350</v>
      </c>
      <c r="C51" s="38" t="s">
        <v>351</v>
      </c>
      <c r="D51" s="39"/>
      <c r="E51" s="39"/>
      <c r="F51" s="38"/>
      <c r="G51" s="38"/>
      <c r="H51" s="38"/>
      <c r="I51" s="38"/>
    </row>
    <row r="52" customFormat="false" ht="37.5" hidden="false" customHeight="true" outlineLevel="0" collapsed="false">
      <c r="A52" s="40" t="n">
        <v>48</v>
      </c>
      <c r="B52" s="41" t="s">
        <v>352</v>
      </c>
      <c r="C52" s="42" t="s">
        <v>353</v>
      </c>
      <c r="D52" s="39"/>
      <c r="E52" s="43"/>
      <c r="F52" s="42"/>
      <c r="G52" s="42"/>
      <c r="H52" s="42"/>
      <c r="I52" s="42"/>
    </row>
    <row r="53" customFormat="false" ht="37.5" hidden="false" customHeight="true" outlineLevel="0" collapsed="false">
      <c r="A53" s="36" t="n">
        <v>49</v>
      </c>
      <c r="B53" s="37" t="s">
        <v>354</v>
      </c>
      <c r="C53" s="38" t="s">
        <v>355</v>
      </c>
      <c r="D53" s="39"/>
      <c r="E53" s="39"/>
      <c r="F53" s="38"/>
      <c r="G53" s="38"/>
      <c r="H53" s="38"/>
      <c r="I53" s="38"/>
    </row>
    <row r="54" customFormat="false" ht="37.5" hidden="false" customHeight="true" outlineLevel="0" collapsed="false">
      <c r="A54" s="40" t="n">
        <v>50</v>
      </c>
      <c r="B54" s="41" t="s">
        <v>356</v>
      </c>
      <c r="C54" s="42" t="s">
        <v>357</v>
      </c>
      <c r="D54" s="39"/>
      <c r="E54" s="43"/>
      <c r="F54" s="42"/>
      <c r="G54" s="42"/>
      <c r="H54" s="42"/>
      <c r="I54" s="42"/>
    </row>
    <row r="55" customFormat="false" ht="37.5" hidden="false" customHeight="true" outlineLevel="0" collapsed="false">
      <c r="A55" s="36" t="n">
        <v>51</v>
      </c>
      <c r="B55" s="37" t="s">
        <v>358</v>
      </c>
      <c r="C55" s="38" t="s">
        <v>359</v>
      </c>
      <c r="D55" s="39"/>
      <c r="E55" s="39"/>
      <c r="F55" s="38"/>
      <c r="G55" s="38"/>
      <c r="H55" s="38"/>
      <c r="I55" s="38"/>
    </row>
    <row r="56" customFormat="false" ht="37.5" hidden="false" customHeight="true" outlineLevel="0" collapsed="false">
      <c r="A56" s="40" t="n">
        <v>52</v>
      </c>
      <c r="B56" s="41" t="s">
        <v>360</v>
      </c>
      <c r="C56" s="42" t="s">
        <v>361</v>
      </c>
      <c r="D56" s="39"/>
      <c r="E56" s="43"/>
      <c r="F56" s="42"/>
      <c r="G56" s="42"/>
      <c r="H56" s="42"/>
      <c r="I56" s="42"/>
    </row>
    <row r="57" customFormat="false" ht="37.5" hidden="false" customHeight="true" outlineLevel="0" collapsed="false">
      <c r="A57" s="36" t="n">
        <v>53</v>
      </c>
      <c r="B57" s="37" t="s">
        <v>362</v>
      </c>
      <c r="C57" s="38" t="s">
        <v>363</v>
      </c>
      <c r="D57" s="39"/>
      <c r="E57" s="39"/>
      <c r="F57" s="38"/>
      <c r="G57" s="38"/>
      <c r="H57" s="38"/>
      <c r="I57" s="38"/>
    </row>
    <row r="58" customFormat="false" ht="37.5" hidden="false" customHeight="true" outlineLevel="0" collapsed="false">
      <c r="A58" s="40" t="n">
        <v>54</v>
      </c>
      <c r="B58" s="41" t="s">
        <v>364</v>
      </c>
      <c r="C58" s="42" t="s">
        <v>365</v>
      </c>
      <c r="D58" s="39"/>
      <c r="E58" s="43"/>
      <c r="F58" s="42"/>
      <c r="G58" s="42"/>
      <c r="H58" s="42"/>
      <c r="I58" s="42"/>
    </row>
    <row r="59" customFormat="false" ht="37.5" hidden="false" customHeight="true" outlineLevel="0" collapsed="false">
      <c r="A59" s="36" t="n">
        <v>55</v>
      </c>
      <c r="B59" s="37" t="s">
        <v>366</v>
      </c>
      <c r="C59" s="38" t="s">
        <v>367</v>
      </c>
      <c r="D59" s="39"/>
      <c r="E59" s="39"/>
      <c r="F59" s="38"/>
      <c r="G59" s="38"/>
      <c r="H59" s="38"/>
      <c r="I59" s="38"/>
    </row>
    <row r="60" customFormat="false" ht="37.5" hidden="false" customHeight="true" outlineLevel="0" collapsed="false">
      <c r="A60" s="40" t="n">
        <v>56</v>
      </c>
      <c r="B60" s="41" t="s">
        <v>368</v>
      </c>
      <c r="C60" s="42" t="s">
        <v>369</v>
      </c>
      <c r="D60" s="39"/>
      <c r="E60" s="43"/>
      <c r="F60" s="42"/>
      <c r="G60" s="42"/>
      <c r="H60" s="42"/>
      <c r="I60" s="42"/>
    </row>
    <row r="61" customFormat="false" ht="37.5" hidden="false" customHeight="true" outlineLevel="0" collapsed="false">
      <c r="A61" s="36" t="n">
        <v>57</v>
      </c>
      <c r="B61" s="37" t="s">
        <v>370</v>
      </c>
      <c r="C61" s="38" t="s">
        <v>371</v>
      </c>
      <c r="D61" s="39"/>
      <c r="E61" s="39"/>
      <c r="F61" s="38"/>
      <c r="G61" s="38"/>
      <c r="H61" s="38"/>
      <c r="I61" s="38"/>
    </row>
    <row r="62" customFormat="false" ht="37.5" hidden="false" customHeight="true" outlineLevel="0" collapsed="false">
      <c r="A62" s="40" t="n">
        <v>58</v>
      </c>
      <c r="B62" s="41" t="s">
        <v>372</v>
      </c>
      <c r="C62" s="42" t="s">
        <v>373</v>
      </c>
      <c r="D62" s="39"/>
      <c r="E62" s="43"/>
      <c r="F62" s="42"/>
      <c r="G62" s="42"/>
      <c r="H62" s="42"/>
      <c r="I62" s="42"/>
    </row>
    <row r="63" customFormat="false" ht="37.5" hidden="false" customHeight="true" outlineLevel="0" collapsed="false">
      <c r="A63" s="36" t="n">
        <v>59</v>
      </c>
      <c r="B63" s="37" t="s">
        <v>374</v>
      </c>
      <c r="C63" s="38" t="s">
        <v>375</v>
      </c>
      <c r="D63" s="39"/>
      <c r="E63" s="39"/>
      <c r="F63" s="38"/>
      <c r="G63" s="38"/>
      <c r="H63" s="38"/>
      <c r="I63" s="38"/>
    </row>
    <row r="64" customFormat="false" ht="37.5" hidden="false" customHeight="true" outlineLevel="0" collapsed="false">
      <c r="A64" s="40" t="n">
        <v>60</v>
      </c>
      <c r="B64" s="41" t="s">
        <v>376</v>
      </c>
      <c r="C64" s="42" t="s">
        <v>377</v>
      </c>
      <c r="D64" s="39"/>
      <c r="E64" s="43"/>
      <c r="F64" s="42"/>
      <c r="G64" s="42"/>
      <c r="H64" s="42"/>
      <c r="I64" s="42"/>
    </row>
    <row r="65" customFormat="false" ht="37.5" hidden="false" customHeight="true" outlineLevel="0" collapsed="false">
      <c r="A65" s="36" t="n">
        <v>61</v>
      </c>
      <c r="B65" s="37" t="s">
        <v>378</v>
      </c>
      <c r="C65" s="38" t="s">
        <v>379</v>
      </c>
      <c r="D65" s="39"/>
      <c r="E65" s="39"/>
      <c r="F65" s="38"/>
      <c r="G65" s="38"/>
      <c r="H65" s="38"/>
      <c r="I65" s="38"/>
    </row>
    <row r="66" customFormat="false" ht="37.5" hidden="false" customHeight="true" outlineLevel="0" collapsed="false">
      <c r="A66" s="40" t="n">
        <v>62</v>
      </c>
      <c r="B66" s="41" t="s">
        <v>380</v>
      </c>
      <c r="C66" s="42" t="s">
        <v>381</v>
      </c>
      <c r="D66" s="39"/>
      <c r="E66" s="43"/>
      <c r="F66" s="42"/>
      <c r="G66" s="42"/>
      <c r="H66" s="42"/>
      <c r="I66" s="42"/>
    </row>
    <row r="67" customFormat="false" ht="37.5" hidden="false" customHeight="true" outlineLevel="0" collapsed="false">
      <c r="A67" s="36" t="n">
        <v>63</v>
      </c>
      <c r="B67" s="37" t="s">
        <v>382</v>
      </c>
      <c r="C67" s="38" t="s">
        <v>383</v>
      </c>
      <c r="D67" s="39"/>
      <c r="E67" s="39"/>
      <c r="F67" s="38"/>
      <c r="G67" s="38"/>
      <c r="H67" s="38"/>
      <c r="I67" s="38"/>
    </row>
    <row r="68" customFormat="false" ht="37.5" hidden="false" customHeight="true" outlineLevel="0" collapsed="false">
      <c r="A68" s="40" t="n">
        <v>64</v>
      </c>
      <c r="B68" s="41" t="s">
        <v>384</v>
      </c>
      <c r="C68" s="42" t="s">
        <v>385</v>
      </c>
      <c r="D68" s="39"/>
      <c r="E68" s="43"/>
      <c r="F68" s="42"/>
      <c r="G68" s="42"/>
      <c r="H68" s="42"/>
      <c r="I68" s="42"/>
    </row>
    <row r="69" customFormat="false" ht="37.5" hidden="false" customHeight="true" outlineLevel="0" collapsed="false">
      <c r="A69" s="36" t="n">
        <v>65</v>
      </c>
      <c r="B69" s="37" t="s">
        <v>386</v>
      </c>
      <c r="C69" s="38" t="s">
        <v>387</v>
      </c>
      <c r="D69" s="39"/>
      <c r="E69" s="39"/>
      <c r="F69" s="38"/>
      <c r="G69" s="38"/>
      <c r="H69" s="38"/>
      <c r="I69" s="38"/>
    </row>
    <row r="70" customFormat="false" ht="37.5" hidden="false" customHeight="true" outlineLevel="0" collapsed="false">
      <c r="A70" s="40" t="n">
        <v>66</v>
      </c>
      <c r="B70" s="41" t="s">
        <v>388</v>
      </c>
      <c r="C70" s="42" t="s">
        <v>389</v>
      </c>
      <c r="D70" s="39"/>
      <c r="E70" s="43"/>
      <c r="F70" s="42"/>
      <c r="G70" s="42"/>
      <c r="H70" s="42"/>
      <c r="I70" s="42"/>
    </row>
    <row r="71" customFormat="false" ht="37.5" hidden="false" customHeight="true" outlineLevel="0" collapsed="false">
      <c r="A71" s="36" t="n">
        <v>67</v>
      </c>
      <c r="B71" s="37" t="s">
        <v>390</v>
      </c>
      <c r="C71" s="38" t="s">
        <v>391</v>
      </c>
      <c r="D71" s="39"/>
      <c r="E71" s="39"/>
      <c r="F71" s="38"/>
      <c r="G71" s="38"/>
      <c r="H71" s="38"/>
      <c r="I71" s="38"/>
    </row>
    <row r="72" customFormat="false" ht="37.5" hidden="false" customHeight="true" outlineLevel="0" collapsed="false">
      <c r="A72" s="40" t="n">
        <v>68</v>
      </c>
      <c r="B72" s="41" t="s">
        <v>392</v>
      </c>
      <c r="C72" s="42" t="s">
        <v>393</v>
      </c>
      <c r="D72" s="39"/>
      <c r="E72" s="43"/>
      <c r="F72" s="42"/>
      <c r="G72" s="42"/>
      <c r="H72" s="42"/>
      <c r="I72" s="42"/>
    </row>
    <row r="73" customFormat="false" ht="37.5" hidden="false" customHeight="true" outlineLevel="0" collapsed="false">
      <c r="A73" s="36" t="n">
        <v>69</v>
      </c>
      <c r="B73" s="37" t="s">
        <v>394</v>
      </c>
      <c r="C73" s="38" t="s">
        <v>395</v>
      </c>
      <c r="D73" s="39"/>
      <c r="E73" s="39"/>
      <c r="F73" s="38"/>
      <c r="G73" s="38"/>
      <c r="H73" s="38"/>
      <c r="I73" s="38"/>
    </row>
    <row r="74" customFormat="false" ht="37.5" hidden="false" customHeight="true" outlineLevel="0" collapsed="false">
      <c r="A74" s="40" t="n">
        <v>70</v>
      </c>
      <c r="B74" s="41" t="s">
        <v>396</v>
      </c>
      <c r="C74" s="42" t="s">
        <v>397</v>
      </c>
      <c r="D74" s="39"/>
      <c r="E74" s="43"/>
      <c r="F74" s="42"/>
      <c r="G74" s="42"/>
      <c r="H74" s="42"/>
      <c r="I74" s="42"/>
    </row>
    <row r="75" customFormat="false" ht="37.5" hidden="false" customHeight="true" outlineLevel="0" collapsed="false">
      <c r="A75" s="36" t="n">
        <v>71</v>
      </c>
      <c r="B75" s="37" t="s">
        <v>398</v>
      </c>
      <c r="C75" s="38" t="s">
        <v>399</v>
      </c>
      <c r="D75" s="39"/>
      <c r="E75" s="39"/>
      <c r="F75" s="38"/>
      <c r="G75" s="38"/>
      <c r="H75" s="38"/>
      <c r="I75" s="38"/>
    </row>
    <row r="76" customFormat="false" ht="37.5" hidden="false" customHeight="true" outlineLevel="0" collapsed="false">
      <c r="A76" s="40" t="n">
        <v>72</v>
      </c>
      <c r="B76" s="41" t="s">
        <v>400</v>
      </c>
      <c r="C76" s="42" t="s">
        <v>401</v>
      </c>
      <c r="D76" s="39"/>
      <c r="E76" s="43"/>
      <c r="F76" s="42"/>
      <c r="G76" s="42"/>
      <c r="H76" s="42"/>
      <c r="I76" s="42"/>
    </row>
    <row r="77" customFormat="false" ht="37.5" hidden="false" customHeight="true" outlineLevel="0" collapsed="false">
      <c r="A77" s="36" t="n">
        <v>73</v>
      </c>
      <c r="B77" s="37" t="s">
        <v>402</v>
      </c>
      <c r="C77" s="38" t="s">
        <v>403</v>
      </c>
      <c r="D77" s="39"/>
      <c r="E77" s="39"/>
      <c r="F77" s="38"/>
      <c r="G77" s="38"/>
      <c r="H77" s="38"/>
      <c r="I77" s="38"/>
    </row>
    <row r="78" customFormat="false" ht="37.5" hidden="false" customHeight="true" outlineLevel="0" collapsed="false">
      <c r="A78" s="40" t="n">
        <v>74</v>
      </c>
      <c r="B78" s="41" t="s">
        <v>404</v>
      </c>
      <c r="C78" s="42" t="s">
        <v>405</v>
      </c>
      <c r="D78" s="39"/>
      <c r="E78" s="43"/>
      <c r="F78" s="42"/>
      <c r="G78" s="42"/>
      <c r="H78" s="42"/>
      <c r="I78" s="42"/>
    </row>
    <row r="79" customFormat="false" ht="37.5" hidden="false" customHeight="true" outlineLevel="0" collapsed="false">
      <c r="A79" s="36" t="n">
        <v>75</v>
      </c>
      <c r="B79" s="37" t="s">
        <v>406</v>
      </c>
      <c r="C79" s="38" t="s">
        <v>407</v>
      </c>
      <c r="D79" s="39"/>
      <c r="E79" s="39"/>
      <c r="F79" s="38"/>
      <c r="G79" s="38"/>
      <c r="H79" s="38"/>
      <c r="I79" s="38"/>
    </row>
    <row r="80" customFormat="false" ht="37.5" hidden="false" customHeight="true" outlineLevel="0" collapsed="false">
      <c r="A80" s="40" t="n">
        <v>76</v>
      </c>
      <c r="B80" s="41" t="s">
        <v>408</v>
      </c>
      <c r="C80" s="42" t="s">
        <v>409</v>
      </c>
      <c r="D80" s="39"/>
      <c r="E80" s="43"/>
      <c r="F80" s="42"/>
      <c r="G80" s="42"/>
      <c r="H80" s="42"/>
      <c r="I80" s="42"/>
    </row>
    <row r="81" customFormat="false" ht="37.5" hidden="false" customHeight="true" outlineLevel="0" collapsed="false">
      <c r="A81" s="36" t="n">
        <v>77</v>
      </c>
      <c r="B81" s="37" t="s">
        <v>410</v>
      </c>
      <c r="C81" s="38" t="s">
        <v>411</v>
      </c>
      <c r="D81" s="39"/>
      <c r="E81" s="39"/>
      <c r="F81" s="38"/>
      <c r="G81" s="38"/>
      <c r="H81" s="38"/>
      <c r="I81" s="38"/>
    </row>
  </sheetData>
  <autoFilter ref="A4:I81"/>
  <mergeCells count="2">
    <mergeCell ref="A1:I1"/>
    <mergeCell ref="A2:I2"/>
  </mergeCells>
  <conditionalFormatting sqref="D5:D81">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412</v>
      </c>
      <c r="B1" s="35"/>
      <c r="C1" s="35"/>
      <c r="D1" s="35"/>
      <c r="E1" s="35"/>
      <c r="F1" s="35"/>
      <c r="G1" s="35"/>
      <c r="H1" s="35"/>
      <c r="I1" s="35"/>
    </row>
    <row r="2" customFormat="false" ht="19.5" hidden="false" customHeight="true" outlineLevel="0" collapsed="false">
      <c r="A2" s="18" t="s">
        <v>413</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414</v>
      </c>
      <c r="C5" s="38" t="s">
        <v>415</v>
      </c>
      <c r="D5" s="39"/>
      <c r="E5" s="39"/>
      <c r="F5" s="38"/>
      <c r="G5" s="38"/>
      <c r="H5" s="38"/>
      <c r="I5" s="38"/>
    </row>
    <row r="6" customFormat="false" ht="37.5" hidden="false" customHeight="true" outlineLevel="0" collapsed="false">
      <c r="A6" s="40" t="n">
        <v>2</v>
      </c>
      <c r="B6" s="41" t="s">
        <v>416</v>
      </c>
      <c r="C6" s="42" t="s">
        <v>417</v>
      </c>
      <c r="D6" s="39"/>
      <c r="E6" s="43"/>
      <c r="F6" s="42"/>
      <c r="G6" s="42"/>
      <c r="H6" s="42"/>
      <c r="I6" s="42"/>
    </row>
    <row r="7" customFormat="false" ht="37.5" hidden="false" customHeight="true" outlineLevel="0" collapsed="false">
      <c r="A7" s="36" t="n">
        <v>3</v>
      </c>
      <c r="B7" s="37" t="s">
        <v>418</v>
      </c>
      <c r="C7" s="38" t="s">
        <v>419</v>
      </c>
      <c r="D7" s="39"/>
      <c r="E7" s="39"/>
      <c r="F7" s="38"/>
      <c r="G7" s="38"/>
      <c r="H7" s="38"/>
      <c r="I7" s="38"/>
    </row>
    <row r="8" customFormat="false" ht="37.5" hidden="false" customHeight="true" outlineLevel="0" collapsed="false">
      <c r="A8" s="40" t="n">
        <v>4</v>
      </c>
      <c r="B8" s="41" t="s">
        <v>420</v>
      </c>
      <c r="C8" s="42" t="s">
        <v>421</v>
      </c>
      <c r="D8" s="39"/>
      <c r="E8" s="43"/>
      <c r="F8" s="42"/>
      <c r="G8" s="42"/>
      <c r="H8" s="42"/>
      <c r="I8" s="42"/>
    </row>
    <row r="9" customFormat="false" ht="37.5" hidden="false" customHeight="true" outlineLevel="0" collapsed="false">
      <c r="A9" s="36" t="n">
        <v>5</v>
      </c>
      <c r="B9" s="37" t="s">
        <v>422</v>
      </c>
      <c r="C9" s="38" t="s">
        <v>423</v>
      </c>
      <c r="D9" s="39"/>
      <c r="E9" s="39"/>
      <c r="F9" s="38"/>
      <c r="G9" s="38"/>
      <c r="H9" s="38"/>
      <c r="I9" s="38"/>
    </row>
    <row r="10" customFormat="false" ht="37.5" hidden="false" customHeight="true" outlineLevel="0" collapsed="false">
      <c r="A10" s="40" t="n">
        <v>6</v>
      </c>
      <c r="B10" s="41" t="s">
        <v>424</v>
      </c>
      <c r="C10" s="42" t="s">
        <v>425</v>
      </c>
      <c r="D10" s="39"/>
      <c r="E10" s="43"/>
      <c r="F10" s="42"/>
      <c r="G10" s="42"/>
      <c r="H10" s="42"/>
      <c r="I10" s="42"/>
    </row>
    <row r="11" customFormat="false" ht="37.5" hidden="false" customHeight="true" outlineLevel="0" collapsed="false">
      <c r="A11" s="36" t="n">
        <v>7</v>
      </c>
      <c r="B11" s="37" t="s">
        <v>426</v>
      </c>
      <c r="C11" s="38" t="s">
        <v>427</v>
      </c>
      <c r="D11" s="39"/>
      <c r="E11" s="39"/>
      <c r="F11" s="38"/>
      <c r="G11" s="38"/>
      <c r="H11" s="38"/>
      <c r="I11" s="38"/>
    </row>
    <row r="12" customFormat="false" ht="37.5" hidden="false" customHeight="true" outlineLevel="0" collapsed="false">
      <c r="A12" s="40" t="n">
        <v>8</v>
      </c>
      <c r="B12" s="41" t="s">
        <v>428</v>
      </c>
      <c r="C12" s="42" t="s">
        <v>429</v>
      </c>
      <c r="D12" s="39"/>
      <c r="E12" s="43"/>
      <c r="F12" s="42"/>
      <c r="G12" s="42"/>
      <c r="H12" s="42"/>
      <c r="I12" s="42"/>
    </row>
    <row r="13" customFormat="false" ht="37.5" hidden="false" customHeight="true" outlineLevel="0" collapsed="false">
      <c r="A13" s="36" t="n">
        <v>9</v>
      </c>
      <c r="B13" s="37" t="s">
        <v>430</v>
      </c>
      <c r="C13" s="38" t="s">
        <v>431</v>
      </c>
      <c r="D13" s="39"/>
      <c r="E13" s="39"/>
      <c r="F13" s="38"/>
      <c r="G13" s="38"/>
      <c r="H13" s="38"/>
      <c r="I13" s="38"/>
    </row>
    <row r="14" customFormat="false" ht="37.5" hidden="false" customHeight="true" outlineLevel="0" collapsed="false">
      <c r="A14" s="40" t="n">
        <v>10</v>
      </c>
      <c r="B14" s="41" t="s">
        <v>432</v>
      </c>
      <c r="C14" s="42" t="s">
        <v>433</v>
      </c>
      <c r="D14" s="39"/>
      <c r="E14" s="43"/>
      <c r="F14" s="42"/>
      <c r="G14" s="42"/>
      <c r="H14" s="42"/>
      <c r="I14" s="42"/>
    </row>
    <row r="15" customFormat="false" ht="37.5" hidden="false" customHeight="true" outlineLevel="0" collapsed="false">
      <c r="A15" s="36" t="n">
        <v>11</v>
      </c>
      <c r="B15" s="37" t="s">
        <v>434</v>
      </c>
      <c r="C15" s="38" t="s">
        <v>435</v>
      </c>
      <c r="D15" s="39"/>
      <c r="E15" s="39"/>
      <c r="F15" s="38"/>
      <c r="G15" s="38"/>
      <c r="H15" s="38"/>
      <c r="I15" s="38"/>
    </row>
    <row r="16" customFormat="false" ht="37.5" hidden="false" customHeight="true" outlineLevel="0" collapsed="false">
      <c r="A16" s="40" t="n">
        <v>12</v>
      </c>
      <c r="B16" s="41" t="s">
        <v>436</v>
      </c>
      <c r="C16" s="42" t="s">
        <v>437</v>
      </c>
      <c r="D16" s="39"/>
      <c r="E16" s="43"/>
      <c r="F16" s="42"/>
      <c r="G16" s="42"/>
      <c r="H16" s="42"/>
      <c r="I16" s="42"/>
    </row>
    <row r="17" customFormat="false" ht="37.5" hidden="false" customHeight="true" outlineLevel="0" collapsed="false">
      <c r="A17" s="36" t="n">
        <v>13</v>
      </c>
      <c r="B17" s="37" t="s">
        <v>438</v>
      </c>
      <c r="C17" s="38" t="s">
        <v>439</v>
      </c>
      <c r="D17" s="39"/>
      <c r="E17" s="39"/>
      <c r="F17" s="38"/>
      <c r="G17" s="38"/>
      <c r="H17" s="38"/>
      <c r="I17" s="38"/>
    </row>
    <row r="18" customFormat="false" ht="37.5" hidden="false" customHeight="true" outlineLevel="0" collapsed="false">
      <c r="A18" s="40" t="n">
        <v>14</v>
      </c>
      <c r="B18" s="41" t="s">
        <v>440</v>
      </c>
      <c r="C18" s="42" t="s">
        <v>441</v>
      </c>
      <c r="D18" s="39"/>
      <c r="E18" s="43"/>
      <c r="F18" s="42"/>
      <c r="G18" s="42"/>
      <c r="H18" s="42"/>
      <c r="I18" s="42"/>
    </row>
    <row r="19" customFormat="false" ht="37.5" hidden="false" customHeight="true" outlineLevel="0" collapsed="false">
      <c r="A19" s="36" t="n">
        <v>15</v>
      </c>
      <c r="B19" s="37" t="s">
        <v>442</v>
      </c>
      <c r="C19" s="38" t="s">
        <v>443</v>
      </c>
      <c r="D19" s="39"/>
      <c r="E19" s="39"/>
      <c r="F19" s="38"/>
      <c r="G19" s="38"/>
      <c r="H19" s="38"/>
      <c r="I19" s="38"/>
    </row>
    <row r="20" customFormat="false" ht="37.5" hidden="false" customHeight="true" outlineLevel="0" collapsed="false">
      <c r="A20" s="40" t="n">
        <v>16</v>
      </c>
      <c r="B20" s="41" t="s">
        <v>444</v>
      </c>
      <c r="C20" s="42" t="s">
        <v>445</v>
      </c>
      <c r="D20" s="39"/>
      <c r="E20" s="43"/>
      <c r="F20" s="42"/>
      <c r="G20" s="42"/>
      <c r="H20" s="42"/>
      <c r="I20" s="42"/>
    </row>
    <row r="21" customFormat="false" ht="37.5" hidden="false" customHeight="true" outlineLevel="0" collapsed="false">
      <c r="A21" s="36" t="n">
        <v>17</v>
      </c>
      <c r="B21" s="37" t="s">
        <v>446</v>
      </c>
      <c r="C21" s="38" t="s">
        <v>447</v>
      </c>
      <c r="D21" s="39"/>
      <c r="E21" s="39"/>
      <c r="F21" s="38"/>
      <c r="G21" s="38"/>
      <c r="H21" s="38"/>
      <c r="I21" s="38"/>
    </row>
    <row r="22" customFormat="false" ht="37.5" hidden="false" customHeight="true" outlineLevel="0" collapsed="false">
      <c r="A22" s="40" t="n">
        <v>18</v>
      </c>
      <c r="B22" s="41" t="s">
        <v>448</v>
      </c>
      <c r="C22" s="42" t="s">
        <v>387</v>
      </c>
      <c r="D22" s="39"/>
      <c r="E22" s="43"/>
      <c r="F22" s="42"/>
      <c r="G22" s="42"/>
      <c r="H22" s="42"/>
      <c r="I22" s="42"/>
    </row>
    <row r="23" customFormat="false" ht="37.5" hidden="false" customHeight="true" outlineLevel="0" collapsed="false">
      <c r="A23" s="36" t="n">
        <v>19</v>
      </c>
      <c r="B23" s="37" t="s">
        <v>449</v>
      </c>
      <c r="C23" s="38" t="s">
        <v>450</v>
      </c>
      <c r="D23" s="39"/>
      <c r="E23" s="39"/>
      <c r="F23" s="38"/>
      <c r="G23" s="38"/>
      <c r="H23" s="38"/>
      <c r="I23" s="38"/>
    </row>
    <row r="24" customFormat="false" ht="37.5" hidden="false" customHeight="true" outlineLevel="0" collapsed="false">
      <c r="A24" s="40" t="n">
        <v>20</v>
      </c>
      <c r="B24" s="41" t="s">
        <v>451</v>
      </c>
      <c r="C24" s="42" t="s">
        <v>452</v>
      </c>
      <c r="D24" s="39"/>
      <c r="E24" s="43"/>
      <c r="F24" s="42"/>
      <c r="G24" s="42"/>
      <c r="H24" s="42"/>
      <c r="I24" s="42"/>
    </row>
    <row r="25" customFormat="false" ht="37.5" hidden="false" customHeight="true" outlineLevel="0" collapsed="false">
      <c r="A25" s="36" t="n">
        <v>21</v>
      </c>
      <c r="B25" s="37" t="s">
        <v>453</v>
      </c>
      <c r="C25" s="38" t="s">
        <v>454</v>
      </c>
      <c r="D25" s="39"/>
      <c r="E25" s="39"/>
      <c r="F25" s="38"/>
      <c r="G25" s="38"/>
      <c r="H25" s="38"/>
      <c r="I25" s="38"/>
    </row>
    <row r="26" customFormat="false" ht="37.5" hidden="false" customHeight="true" outlineLevel="0" collapsed="false">
      <c r="A26" s="40" t="n">
        <v>22</v>
      </c>
      <c r="B26" s="41" t="s">
        <v>455</v>
      </c>
      <c r="C26" s="42" t="s">
        <v>456</v>
      </c>
      <c r="D26" s="39"/>
      <c r="E26" s="43"/>
      <c r="F26" s="42"/>
      <c r="G26" s="42"/>
      <c r="H26" s="42"/>
      <c r="I26" s="42"/>
    </row>
    <row r="27" customFormat="false" ht="37.5" hidden="false" customHeight="true" outlineLevel="0" collapsed="false">
      <c r="A27" s="36" t="n">
        <v>23</v>
      </c>
      <c r="B27" s="37" t="s">
        <v>457</v>
      </c>
      <c r="C27" s="38" t="s">
        <v>458</v>
      </c>
      <c r="D27" s="39"/>
      <c r="E27" s="39"/>
      <c r="F27" s="38"/>
      <c r="G27" s="38"/>
      <c r="H27" s="38"/>
      <c r="I27" s="38"/>
    </row>
    <row r="28" customFormat="false" ht="37.5" hidden="false" customHeight="true" outlineLevel="0" collapsed="false">
      <c r="A28" s="40" t="n">
        <v>24</v>
      </c>
      <c r="B28" s="41" t="s">
        <v>459</v>
      </c>
      <c r="C28" s="42" t="s">
        <v>460</v>
      </c>
      <c r="D28" s="39"/>
      <c r="E28" s="43"/>
      <c r="F28" s="42"/>
      <c r="G28" s="42"/>
      <c r="H28" s="42"/>
      <c r="I28" s="42"/>
    </row>
    <row r="29" customFormat="false" ht="37.5" hidden="false" customHeight="true" outlineLevel="0" collapsed="false">
      <c r="A29" s="36" t="n">
        <v>25</v>
      </c>
      <c r="B29" s="37" t="s">
        <v>461</v>
      </c>
      <c r="C29" s="38" t="s">
        <v>462</v>
      </c>
      <c r="D29" s="39"/>
      <c r="E29" s="39"/>
      <c r="F29" s="38"/>
      <c r="G29" s="38"/>
      <c r="H29" s="38"/>
      <c r="I29" s="38"/>
    </row>
    <row r="30" customFormat="false" ht="37.5" hidden="false" customHeight="true" outlineLevel="0" collapsed="false">
      <c r="A30" s="40" t="n">
        <v>26</v>
      </c>
      <c r="B30" s="41" t="s">
        <v>463</v>
      </c>
      <c r="C30" s="42" t="s">
        <v>464</v>
      </c>
      <c r="D30" s="39"/>
      <c r="E30" s="43"/>
      <c r="F30" s="42"/>
      <c r="G30" s="42"/>
      <c r="H30" s="42"/>
      <c r="I30" s="42"/>
    </row>
    <row r="31" customFormat="false" ht="37.5" hidden="false" customHeight="true" outlineLevel="0" collapsed="false">
      <c r="A31" s="36" t="n">
        <v>27</v>
      </c>
      <c r="B31" s="37" t="s">
        <v>465</v>
      </c>
      <c r="C31" s="38" t="s">
        <v>466</v>
      </c>
      <c r="D31" s="39"/>
      <c r="E31" s="39"/>
      <c r="F31" s="38"/>
      <c r="G31" s="38"/>
      <c r="H31" s="38"/>
      <c r="I31" s="38"/>
    </row>
    <row r="32" customFormat="false" ht="37.5" hidden="false" customHeight="true" outlineLevel="0" collapsed="false">
      <c r="A32" s="40" t="n">
        <v>28</v>
      </c>
      <c r="B32" s="41" t="s">
        <v>467</v>
      </c>
      <c r="C32" s="42" t="s">
        <v>468</v>
      </c>
      <c r="D32" s="39"/>
      <c r="E32" s="43"/>
      <c r="F32" s="42"/>
      <c r="G32" s="42"/>
      <c r="H32" s="42"/>
      <c r="I32" s="42"/>
    </row>
    <row r="33" customFormat="false" ht="37.5" hidden="false" customHeight="true" outlineLevel="0" collapsed="false">
      <c r="A33" s="36" t="n">
        <v>29</v>
      </c>
      <c r="B33" s="37" t="s">
        <v>469</v>
      </c>
      <c r="C33" s="38" t="s">
        <v>470</v>
      </c>
      <c r="D33" s="39"/>
      <c r="E33" s="39"/>
      <c r="F33" s="38"/>
      <c r="G33" s="38"/>
      <c r="H33" s="38"/>
      <c r="I33" s="38"/>
    </row>
    <row r="34" customFormat="false" ht="37.5" hidden="false" customHeight="true" outlineLevel="0" collapsed="false">
      <c r="A34" s="40" t="n">
        <v>30</v>
      </c>
      <c r="B34" s="41" t="s">
        <v>471</v>
      </c>
      <c r="C34" s="42" t="s">
        <v>472</v>
      </c>
      <c r="D34" s="39"/>
      <c r="E34" s="43"/>
      <c r="F34" s="42"/>
      <c r="G34" s="42"/>
      <c r="H34" s="42"/>
      <c r="I34" s="42"/>
    </row>
    <row r="35" customFormat="false" ht="37.5" hidden="false" customHeight="true" outlineLevel="0" collapsed="false">
      <c r="A35" s="36" t="n">
        <v>31</v>
      </c>
      <c r="B35" s="37" t="s">
        <v>473</v>
      </c>
      <c r="C35" s="38" t="s">
        <v>474</v>
      </c>
      <c r="D35" s="39"/>
      <c r="E35" s="39"/>
      <c r="F35" s="38"/>
      <c r="G35" s="38"/>
      <c r="H35" s="38"/>
      <c r="I35" s="38"/>
    </row>
    <row r="36" customFormat="false" ht="37.5" hidden="false" customHeight="true" outlineLevel="0" collapsed="false">
      <c r="A36" s="40" t="n">
        <v>32</v>
      </c>
      <c r="B36" s="41" t="s">
        <v>475</v>
      </c>
      <c r="C36" s="42" t="s">
        <v>476</v>
      </c>
      <c r="D36" s="39"/>
      <c r="E36" s="43"/>
      <c r="F36" s="42"/>
      <c r="G36" s="42"/>
      <c r="H36" s="42"/>
      <c r="I36" s="42"/>
    </row>
    <row r="37" customFormat="false" ht="37.5" hidden="false" customHeight="true" outlineLevel="0" collapsed="false">
      <c r="A37" s="36" t="n">
        <v>33</v>
      </c>
      <c r="B37" s="37" t="s">
        <v>477</v>
      </c>
      <c r="C37" s="38" t="s">
        <v>478</v>
      </c>
      <c r="D37" s="39"/>
      <c r="E37" s="39"/>
      <c r="F37" s="38"/>
      <c r="G37" s="38"/>
      <c r="H37" s="38"/>
      <c r="I37" s="38"/>
    </row>
    <row r="38" customFormat="false" ht="37.5" hidden="false" customHeight="true" outlineLevel="0" collapsed="false">
      <c r="A38" s="40" t="n">
        <v>34</v>
      </c>
      <c r="B38" s="41" t="s">
        <v>479</v>
      </c>
      <c r="C38" s="42" t="s">
        <v>480</v>
      </c>
      <c r="D38" s="39"/>
      <c r="E38" s="43"/>
      <c r="F38" s="42"/>
      <c r="G38" s="42"/>
      <c r="H38" s="42"/>
      <c r="I38" s="42"/>
    </row>
    <row r="39" customFormat="false" ht="37.5" hidden="false" customHeight="true" outlineLevel="0" collapsed="false">
      <c r="A39" s="36" t="n">
        <v>35</v>
      </c>
      <c r="B39" s="37" t="s">
        <v>481</v>
      </c>
      <c r="C39" s="38" t="s">
        <v>482</v>
      </c>
      <c r="D39" s="39"/>
      <c r="E39" s="39"/>
      <c r="F39" s="38"/>
      <c r="G39" s="38"/>
      <c r="H39" s="38"/>
      <c r="I39" s="38"/>
    </row>
    <row r="40" customFormat="false" ht="37.5" hidden="false" customHeight="true" outlineLevel="0" collapsed="false">
      <c r="A40" s="40" t="n">
        <v>36</v>
      </c>
      <c r="B40" s="41" t="s">
        <v>483</v>
      </c>
      <c r="C40" s="42" t="s">
        <v>484</v>
      </c>
      <c r="D40" s="39"/>
      <c r="E40" s="43"/>
      <c r="F40" s="42"/>
      <c r="G40" s="42"/>
      <c r="H40" s="42"/>
      <c r="I40" s="42"/>
    </row>
    <row r="41" customFormat="false" ht="37.5" hidden="false" customHeight="true" outlineLevel="0" collapsed="false">
      <c r="A41" s="36" t="n">
        <v>37</v>
      </c>
      <c r="B41" s="37" t="s">
        <v>485</v>
      </c>
      <c r="C41" s="38" t="s">
        <v>486</v>
      </c>
      <c r="D41" s="39"/>
      <c r="E41" s="39"/>
      <c r="F41" s="38"/>
      <c r="G41" s="38"/>
      <c r="H41" s="38"/>
      <c r="I41" s="38"/>
    </row>
    <row r="42" customFormat="false" ht="37.5" hidden="false" customHeight="true" outlineLevel="0" collapsed="false">
      <c r="A42" s="40" t="n">
        <v>38</v>
      </c>
      <c r="B42" s="41" t="s">
        <v>487</v>
      </c>
      <c r="C42" s="42" t="s">
        <v>488</v>
      </c>
      <c r="D42" s="39"/>
      <c r="E42" s="43"/>
      <c r="F42" s="42"/>
      <c r="G42" s="42"/>
      <c r="H42" s="42"/>
      <c r="I42" s="42"/>
    </row>
    <row r="43" customFormat="false" ht="37.5" hidden="false" customHeight="true" outlineLevel="0" collapsed="false">
      <c r="A43" s="36" t="n">
        <v>39</v>
      </c>
      <c r="B43" s="37" t="s">
        <v>489</v>
      </c>
      <c r="C43" s="38" t="s">
        <v>490</v>
      </c>
      <c r="D43" s="39"/>
      <c r="E43" s="39"/>
      <c r="F43" s="38"/>
      <c r="G43" s="38"/>
      <c r="H43" s="38"/>
      <c r="I43" s="38"/>
    </row>
    <row r="44" customFormat="false" ht="37.5" hidden="false" customHeight="true" outlineLevel="0" collapsed="false">
      <c r="A44" s="40" t="n">
        <v>40</v>
      </c>
      <c r="B44" s="41" t="s">
        <v>491</v>
      </c>
      <c r="C44" s="42" t="s">
        <v>492</v>
      </c>
      <c r="D44" s="39"/>
      <c r="E44" s="43"/>
      <c r="F44" s="42"/>
      <c r="G44" s="42"/>
      <c r="H44" s="42"/>
      <c r="I44" s="42"/>
    </row>
    <row r="45" customFormat="false" ht="37.5" hidden="false" customHeight="true" outlineLevel="0" collapsed="false">
      <c r="A45" s="36" t="n">
        <v>41</v>
      </c>
      <c r="B45" s="37" t="s">
        <v>493</v>
      </c>
      <c r="C45" s="38" t="s">
        <v>494</v>
      </c>
      <c r="D45" s="39"/>
      <c r="E45" s="39"/>
      <c r="F45" s="38"/>
      <c r="G45" s="38"/>
      <c r="H45" s="38"/>
      <c r="I45" s="38"/>
    </row>
    <row r="46" customFormat="false" ht="37.5" hidden="false" customHeight="true" outlineLevel="0" collapsed="false">
      <c r="A46" s="40" t="n">
        <v>42</v>
      </c>
      <c r="B46" s="41" t="s">
        <v>495</v>
      </c>
      <c r="C46" s="42" t="s">
        <v>496</v>
      </c>
      <c r="D46" s="39"/>
      <c r="E46" s="43"/>
      <c r="F46" s="42"/>
      <c r="G46" s="42"/>
      <c r="H46" s="42"/>
      <c r="I46" s="42"/>
    </row>
    <row r="47" customFormat="false" ht="37.5" hidden="false" customHeight="true" outlineLevel="0" collapsed="false">
      <c r="A47" s="36" t="n">
        <v>43</v>
      </c>
      <c r="B47" s="37" t="s">
        <v>497</v>
      </c>
      <c r="C47" s="38" t="s">
        <v>498</v>
      </c>
      <c r="D47" s="39"/>
      <c r="E47" s="39"/>
      <c r="F47" s="38"/>
      <c r="G47" s="38"/>
      <c r="H47" s="38"/>
      <c r="I47" s="38"/>
    </row>
    <row r="48" customFormat="false" ht="37.5" hidden="false" customHeight="true" outlineLevel="0" collapsed="false">
      <c r="A48" s="40" t="n">
        <v>44</v>
      </c>
      <c r="B48" s="41" t="s">
        <v>499</v>
      </c>
      <c r="C48" s="42" t="s">
        <v>500</v>
      </c>
      <c r="D48" s="39"/>
      <c r="E48" s="43"/>
      <c r="F48" s="42"/>
      <c r="G48" s="42"/>
      <c r="H48" s="42"/>
      <c r="I48" s="42"/>
    </row>
    <row r="49" customFormat="false" ht="37.5" hidden="false" customHeight="true" outlineLevel="0" collapsed="false">
      <c r="A49" s="36" t="n">
        <v>45</v>
      </c>
      <c r="B49" s="37" t="s">
        <v>501</v>
      </c>
      <c r="C49" s="38" t="s">
        <v>502</v>
      </c>
      <c r="D49" s="39"/>
      <c r="E49" s="39"/>
      <c r="F49" s="38"/>
      <c r="G49" s="38"/>
      <c r="H49" s="38"/>
      <c r="I49" s="38"/>
    </row>
    <row r="50" customFormat="false" ht="37.5" hidden="false" customHeight="true" outlineLevel="0" collapsed="false">
      <c r="A50" s="40" t="n">
        <v>46</v>
      </c>
      <c r="B50" s="41" t="s">
        <v>503</v>
      </c>
      <c r="C50" s="42" t="s">
        <v>504</v>
      </c>
      <c r="D50" s="39"/>
      <c r="E50" s="43"/>
      <c r="F50" s="42"/>
      <c r="G50" s="42"/>
      <c r="H50" s="42"/>
      <c r="I50" s="42"/>
    </row>
    <row r="51" customFormat="false" ht="37.5" hidden="false" customHeight="true" outlineLevel="0" collapsed="false">
      <c r="A51" s="36" t="n">
        <v>47</v>
      </c>
      <c r="B51" s="37" t="s">
        <v>505</v>
      </c>
      <c r="C51" s="38" t="s">
        <v>506</v>
      </c>
      <c r="D51" s="39"/>
      <c r="E51" s="39"/>
      <c r="F51" s="38"/>
      <c r="G51" s="38"/>
      <c r="H51" s="38"/>
      <c r="I51" s="38"/>
    </row>
    <row r="52" customFormat="false" ht="37.5" hidden="false" customHeight="true" outlineLevel="0" collapsed="false">
      <c r="A52" s="40" t="n">
        <v>48</v>
      </c>
      <c r="B52" s="41" t="s">
        <v>507</v>
      </c>
      <c r="C52" s="42" t="s">
        <v>508</v>
      </c>
      <c r="D52" s="39"/>
      <c r="E52" s="43"/>
      <c r="F52" s="42"/>
      <c r="G52" s="42"/>
      <c r="H52" s="42"/>
      <c r="I52" s="42"/>
    </row>
    <row r="53" customFormat="false" ht="37.5" hidden="false" customHeight="true" outlineLevel="0" collapsed="false">
      <c r="A53" s="36" t="n">
        <v>49</v>
      </c>
      <c r="B53" s="37" t="s">
        <v>509</v>
      </c>
      <c r="C53" s="38" t="s">
        <v>510</v>
      </c>
      <c r="D53" s="39"/>
      <c r="E53" s="39"/>
      <c r="F53" s="38"/>
      <c r="G53" s="38"/>
      <c r="H53" s="38"/>
      <c r="I53" s="38"/>
    </row>
    <row r="54" customFormat="false" ht="37.5" hidden="false" customHeight="true" outlineLevel="0" collapsed="false">
      <c r="A54" s="40" t="n">
        <v>50</v>
      </c>
      <c r="B54" s="41" t="s">
        <v>511</v>
      </c>
      <c r="C54" s="42" t="s">
        <v>512</v>
      </c>
      <c r="D54" s="39"/>
      <c r="E54" s="43"/>
      <c r="F54" s="42"/>
      <c r="G54" s="42"/>
      <c r="H54" s="42"/>
      <c r="I54" s="42"/>
    </row>
    <row r="55" customFormat="false" ht="37.5" hidden="false" customHeight="true" outlineLevel="0" collapsed="false">
      <c r="A55" s="36" t="n">
        <v>51</v>
      </c>
      <c r="B55" s="37" t="s">
        <v>513</v>
      </c>
      <c r="C55" s="38" t="s">
        <v>514</v>
      </c>
      <c r="D55" s="39"/>
      <c r="E55" s="39"/>
      <c r="F55" s="38"/>
      <c r="G55" s="38"/>
      <c r="H55" s="38"/>
      <c r="I55" s="38"/>
    </row>
    <row r="56" customFormat="false" ht="37.5" hidden="false" customHeight="true" outlineLevel="0" collapsed="false">
      <c r="A56" s="40" t="n">
        <v>52</v>
      </c>
      <c r="B56" s="41" t="s">
        <v>515</v>
      </c>
      <c r="C56" s="42" t="s">
        <v>516</v>
      </c>
      <c r="D56" s="39"/>
      <c r="E56" s="43"/>
      <c r="F56" s="42"/>
      <c r="G56" s="42"/>
      <c r="H56" s="42"/>
      <c r="I56" s="42"/>
    </row>
    <row r="57" customFormat="false" ht="37.5" hidden="false" customHeight="true" outlineLevel="0" collapsed="false">
      <c r="A57" s="36" t="n">
        <v>53</v>
      </c>
      <c r="B57" s="37" t="s">
        <v>517</v>
      </c>
      <c r="C57" s="38" t="s">
        <v>518</v>
      </c>
      <c r="D57" s="39"/>
      <c r="E57" s="39"/>
      <c r="F57" s="38"/>
      <c r="G57" s="38"/>
      <c r="H57" s="38"/>
      <c r="I57" s="38"/>
    </row>
    <row r="58" customFormat="false" ht="37.5" hidden="false" customHeight="true" outlineLevel="0" collapsed="false">
      <c r="A58" s="40" t="n">
        <v>54</v>
      </c>
      <c r="B58" s="41" t="s">
        <v>519</v>
      </c>
      <c r="C58" s="42" t="s">
        <v>520</v>
      </c>
      <c r="D58" s="39"/>
      <c r="E58" s="43"/>
      <c r="F58" s="42"/>
      <c r="G58" s="42"/>
      <c r="H58" s="42"/>
      <c r="I58" s="42"/>
    </row>
    <row r="59" customFormat="false" ht="37.5" hidden="false" customHeight="true" outlineLevel="0" collapsed="false">
      <c r="A59" s="36" t="n">
        <v>55</v>
      </c>
      <c r="B59" s="37" t="s">
        <v>521</v>
      </c>
      <c r="C59" s="38" t="s">
        <v>522</v>
      </c>
      <c r="D59" s="39"/>
      <c r="E59" s="39"/>
      <c r="F59" s="38"/>
      <c r="G59" s="38"/>
      <c r="H59" s="38"/>
      <c r="I59" s="38"/>
    </row>
    <row r="60" customFormat="false" ht="37.5" hidden="false" customHeight="true" outlineLevel="0" collapsed="false">
      <c r="A60" s="40" t="n">
        <v>56</v>
      </c>
      <c r="B60" s="41" t="s">
        <v>523</v>
      </c>
      <c r="C60" s="42" t="s">
        <v>524</v>
      </c>
      <c r="D60" s="39"/>
      <c r="E60" s="43"/>
      <c r="F60" s="42"/>
      <c r="G60" s="42"/>
      <c r="H60" s="42"/>
      <c r="I60" s="42"/>
    </row>
    <row r="61" customFormat="false" ht="37.5" hidden="false" customHeight="true" outlineLevel="0" collapsed="false">
      <c r="A61" s="36" t="n">
        <v>57</v>
      </c>
      <c r="B61" s="37" t="s">
        <v>525</v>
      </c>
      <c r="C61" s="38" t="s">
        <v>526</v>
      </c>
      <c r="D61" s="39"/>
      <c r="E61" s="39"/>
      <c r="F61" s="38"/>
      <c r="G61" s="38"/>
      <c r="H61" s="38"/>
      <c r="I61" s="38"/>
    </row>
    <row r="62" customFormat="false" ht="37.5" hidden="false" customHeight="true" outlineLevel="0" collapsed="false">
      <c r="A62" s="40" t="n">
        <v>58</v>
      </c>
      <c r="B62" s="41" t="s">
        <v>527</v>
      </c>
      <c r="C62" s="42" t="s">
        <v>528</v>
      </c>
      <c r="D62" s="39"/>
      <c r="E62" s="43"/>
      <c r="F62" s="42"/>
      <c r="G62" s="42"/>
      <c r="H62" s="42"/>
      <c r="I62" s="42"/>
    </row>
    <row r="63" customFormat="false" ht="37.5" hidden="false" customHeight="true" outlineLevel="0" collapsed="false">
      <c r="A63" s="36" t="n">
        <v>59</v>
      </c>
      <c r="B63" s="37" t="s">
        <v>529</v>
      </c>
      <c r="C63" s="38" t="s">
        <v>530</v>
      </c>
      <c r="D63" s="39"/>
      <c r="E63" s="39"/>
      <c r="F63" s="38"/>
      <c r="G63" s="38"/>
      <c r="H63" s="38"/>
      <c r="I63" s="38"/>
    </row>
    <row r="64" customFormat="false" ht="37.5" hidden="false" customHeight="true" outlineLevel="0" collapsed="false">
      <c r="A64" s="40" t="n">
        <v>60</v>
      </c>
      <c r="B64" s="41" t="s">
        <v>531</v>
      </c>
      <c r="C64" s="42" t="s">
        <v>532</v>
      </c>
      <c r="D64" s="39"/>
      <c r="E64" s="43"/>
      <c r="F64" s="42"/>
      <c r="G64" s="42"/>
      <c r="H64" s="42"/>
      <c r="I64" s="42"/>
    </row>
    <row r="65" customFormat="false" ht="37.5" hidden="false" customHeight="true" outlineLevel="0" collapsed="false">
      <c r="A65" s="36" t="n">
        <v>61</v>
      </c>
      <c r="B65" s="37" t="s">
        <v>533</v>
      </c>
      <c r="C65" s="38" t="s">
        <v>534</v>
      </c>
      <c r="D65" s="39"/>
      <c r="E65" s="39"/>
      <c r="F65" s="38"/>
      <c r="G65" s="38"/>
      <c r="H65" s="38"/>
      <c r="I65" s="38"/>
    </row>
    <row r="66" customFormat="false" ht="37.5" hidden="false" customHeight="true" outlineLevel="0" collapsed="false">
      <c r="A66" s="40" t="n">
        <v>62</v>
      </c>
      <c r="B66" s="41" t="s">
        <v>535</v>
      </c>
      <c r="C66" s="42" t="s">
        <v>536</v>
      </c>
      <c r="D66" s="39"/>
      <c r="E66" s="43"/>
      <c r="F66" s="42"/>
      <c r="G66" s="42"/>
      <c r="H66" s="42"/>
      <c r="I66" s="42"/>
    </row>
    <row r="67" customFormat="false" ht="37.5" hidden="false" customHeight="true" outlineLevel="0" collapsed="false">
      <c r="A67" s="36" t="n">
        <v>63</v>
      </c>
      <c r="B67" s="37" t="s">
        <v>537</v>
      </c>
      <c r="C67" s="38" t="s">
        <v>538</v>
      </c>
      <c r="D67" s="39"/>
      <c r="E67" s="39"/>
      <c r="F67" s="38"/>
      <c r="G67" s="38"/>
      <c r="H67" s="38"/>
      <c r="I67" s="38"/>
    </row>
    <row r="68" customFormat="false" ht="37.5" hidden="false" customHeight="true" outlineLevel="0" collapsed="false">
      <c r="A68" s="40" t="n">
        <v>64</v>
      </c>
      <c r="B68" s="41" t="s">
        <v>539</v>
      </c>
      <c r="C68" s="42" t="s">
        <v>540</v>
      </c>
      <c r="D68" s="39"/>
      <c r="E68" s="43"/>
      <c r="F68" s="42"/>
      <c r="G68" s="42"/>
      <c r="H68" s="42"/>
      <c r="I68" s="42"/>
    </row>
    <row r="69" customFormat="false" ht="37.5" hidden="false" customHeight="true" outlineLevel="0" collapsed="false">
      <c r="A69" s="36" t="n">
        <v>65</v>
      </c>
      <c r="B69" s="37" t="s">
        <v>541</v>
      </c>
      <c r="C69" s="38" t="s">
        <v>542</v>
      </c>
      <c r="D69" s="39"/>
      <c r="E69" s="39"/>
      <c r="F69" s="38"/>
      <c r="G69" s="38"/>
      <c r="H69" s="38"/>
      <c r="I69" s="38"/>
    </row>
    <row r="70" customFormat="false" ht="37.5" hidden="false" customHeight="true" outlineLevel="0" collapsed="false">
      <c r="A70" s="40" t="n">
        <v>66</v>
      </c>
      <c r="B70" s="41" t="s">
        <v>543</v>
      </c>
      <c r="C70" s="42" t="s">
        <v>544</v>
      </c>
      <c r="D70" s="39"/>
      <c r="E70" s="43"/>
      <c r="F70" s="42"/>
      <c r="G70" s="42"/>
      <c r="H70" s="42"/>
      <c r="I70" s="42"/>
    </row>
    <row r="71" customFormat="false" ht="37.5" hidden="false" customHeight="true" outlineLevel="0" collapsed="false">
      <c r="A71" s="36" t="n">
        <v>67</v>
      </c>
      <c r="B71" s="37" t="s">
        <v>545</v>
      </c>
      <c r="C71" s="38" t="s">
        <v>546</v>
      </c>
      <c r="D71" s="39"/>
      <c r="E71" s="39"/>
      <c r="F71" s="38"/>
      <c r="G71" s="38"/>
      <c r="H71" s="38"/>
      <c r="I71" s="38"/>
    </row>
    <row r="72" customFormat="false" ht="37.5" hidden="false" customHeight="true" outlineLevel="0" collapsed="false">
      <c r="A72" s="40" t="n">
        <v>68</v>
      </c>
      <c r="B72" s="41" t="s">
        <v>547</v>
      </c>
      <c r="C72" s="42" t="s">
        <v>548</v>
      </c>
      <c r="D72" s="39"/>
      <c r="E72" s="43"/>
      <c r="F72" s="42"/>
      <c r="G72" s="42"/>
      <c r="H72" s="42"/>
      <c r="I72" s="42"/>
    </row>
    <row r="73" customFormat="false" ht="37.5" hidden="false" customHeight="true" outlineLevel="0" collapsed="false">
      <c r="A73" s="36" t="n">
        <v>69</v>
      </c>
      <c r="B73" s="37" t="s">
        <v>549</v>
      </c>
      <c r="C73" s="38" t="s">
        <v>550</v>
      </c>
      <c r="D73" s="39"/>
      <c r="E73" s="39"/>
      <c r="F73" s="38"/>
      <c r="G73" s="38"/>
      <c r="H73" s="38"/>
      <c r="I73" s="38"/>
    </row>
    <row r="74" customFormat="false" ht="37.5" hidden="false" customHeight="true" outlineLevel="0" collapsed="false">
      <c r="A74" s="40" t="n">
        <v>70</v>
      </c>
      <c r="B74" s="41" t="s">
        <v>551</v>
      </c>
      <c r="C74" s="42" t="s">
        <v>552</v>
      </c>
      <c r="D74" s="39"/>
      <c r="E74" s="43"/>
      <c r="F74" s="42"/>
      <c r="G74" s="42"/>
      <c r="H74" s="42"/>
      <c r="I74" s="42"/>
    </row>
    <row r="75" customFormat="false" ht="37.5" hidden="false" customHeight="true" outlineLevel="0" collapsed="false">
      <c r="A75" s="36" t="n">
        <v>71</v>
      </c>
      <c r="B75" s="37" t="s">
        <v>553</v>
      </c>
      <c r="C75" s="38" t="s">
        <v>554</v>
      </c>
      <c r="D75" s="39"/>
      <c r="E75" s="39"/>
      <c r="F75" s="38"/>
      <c r="G75" s="38"/>
      <c r="H75" s="38"/>
      <c r="I75" s="38"/>
    </row>
    <row r="76" customFormat="false" ht="37.5" hidden="false" customHeight="true" outlineLevel="0" collapsed="false">
      <c r="A76" s="40" t="n">
        <v>72</v>
      </c>
      <c r="B76" s="41" t="s">
        <v>555</v>
      </c>
      <c r="C76" s="42" t="s">
        <v>556</v>
      </c>
      <c r="D76" s="39"/>
      <c r="E76" s="43"/>
      <c r="F76" s="42"/>
      <c r="G76" s="42"/>
      <c r="H76" s="42"/>
      <c r="I76" s="42"/>
    </row>
    <row r="77" customFormat="false" ht="37.5" hidden="false" customHeight="true" outlineLevel="0" collapsed="false">
      <c r="A77" s="36" t="n">
        <v>73</v>
      </c>
      <c r="B77" s="37" t="s">
        <v>557</v>
      </c>
      <c r="C77" s="38" t="s">
        <v>558</v>
      </c>
      <c r="D77" s="39"/>
      <c r="E77" s="39"/>
      <c r="F77" s="38"/>
      <c r="G77" s="38"/>
      <c r="H77" s="38"/>
      <c r="I77" s="38"/>
    </row>
    <row r="78" customFormat="false" ht="37.5" hidden="false" customHeight="true" outlineLevel="0" collapsed="false">
      <c r="A78" s="40" t="n">
        <v>74</v>
      </c>
      <c r="B78" s="41" t="s">
        <v>559</v>
      </c>
      <c r="C78" s="42" t="s">
        <v>560</v>
      </c>
      <c r="D78" s="39"/>
      <c r="E78" s="43"/>
      <c r="F78" s="42"/>
      <c r="G78" s="42"/>
      <c r="H78" s="42"/>
      <c r="I78" s="42"/>
    </row>
    <row r="79" customFormat="false" ht="37.5" hidden="false" customHeight="true" outlineLevel="0" collapsed="false">
      <c r="A79" s="36" t="n">
        <v>75</v>
      </c>
      <c r="B79" s="37" t="s">
        <v>561</v>
      </c>
      <c r="C79" s="38" t="s">
        <v>562</v>
      </c>
      <c r="D79" s="39"/>
      <c r="E79" s="39"/>
      <c r="F79" s="38"/>
      <c r="G79" s="38"/>
      <c r="H79" s="38"/>
      <c r="I79" s="38"/>
    </row>
    <row r="80" customFormat="false" ht="37.5" hidden="false" customHeight="true" outlineLevel="0" collapsed="false">
      <c r="A80" s="40" t="n">
        <v>76</v>
      </c>
      <c r="B80" s="41" t="s">
        <v>563</v>
      </c>
      <c r="C80" s="42" t="s">
        <v>564</v>
      </c>
      <c r="D80" s="39"/>
      <c r="E80" s="43"/>
      <c r="F80" s="42"/>
      <c r="G80" s="42"/>
      <c r="H80" s="42"/>
      <c r="I80" s="42"/>
    </row>
    <row r="81" customFormat="false" ht="37.5" hidden="false" customHeight="true" outlineLevel="0" collapsed="false">
      <c r="A81" s="36" t="n">
        <v>77</v>
      </c>
      <c r="B81" s="37" t="s">
        <v>565</v>
      </c>
      <c r="C81" s="38" t="s">
        <v>566</v>
      </c>
      <c r="D81" s="39"/>
      <c r="E81" s="39"/>
      <c r="F81" s="38"/>
      <c r="G81" s="38"/>
      <c r="H81" s="38"/>
      <c r="I81" s="38"/>
    </row>
    <row r="82" customFormat="false" ht="37.5" hidden="false" customHeight="true" outlineLevel="0" collapsed="false">
      <c r="A82" s="40" t="n">
        <v>78</v>
      </c>
      <c r="B82" s="41" t="s">
        <v>567</v>
      </c>
      <c r="C82" s="42" t="s">
        <v>568</v>
      </c>
      <c r="D82" s="39"/>
      <c r="E82" s="43"/>
      <c r="F82" s="42"/>
      <c r="G82" s="42"/>
      <c r="H82" s="42"/>
      <c r="I82" s="42"/>
    </row>
    <row r="83" customFormat="false" ht="37.5" hidden="false" customHeight="true" outlineLevel="0" collapsed="false">
      <c r="A83" s="36" t="n">
        <v>79</v>
      </c>
      <c r="B83" s="37" t="s">
        <v>569</v>
      </c>
      <c r="C83" s="38" t="s">
        <v>570</v>
      </c>
      <c r="D83" s="39"/>
      <c r="E83" s="39"/>
      <c r="F83" s="38"/>
      <c r="G83" s="38"/>
      <c r="H83" s="38"/>
      <c r="I83" s="38"/>
    </row>
    <row r="84" customFormat="false" ht="37.5" hidden="false" customHeight="true" outlineLevel="0" collapsed="false">
      <c r="A84" s="40" t="n">
        <v>80</v>
      </c>
      <c r="B84" s="41" t="s">
        <v>571</v>
      </c>
      <c r="C84" s="42" t="s">
        <v>572</v>
      </c>
      <c r="D84" s="39"/>
      <c r="E84" s="43"/>
      <c r="F84" s="42"/>
      <c r="G84" s="42"/>
      <c r="H84" s="42"/>
      <c r="I84" s="42"/>
    </row>
    <row r="85" customFormat="false" ht="37.5" hidden="false" customHeight="true" outlineLevel="0" collapsed="false">
      <c r="A85" s="36" t="n">
        <v>81</v>
      </c>
      <c r="B85" s="37" t="s">
        <v>573</v>
      </c>
      <c r="C85" s="38" t="s">
        <v>574</v>
      </c>
      <c r="D85" s="39"/>
      <c r="E85" s="39"/>
      <c r="F85" s="38"/>
      <c r="G85" s="38"/>
      <c r="H85" s="38"/>
      <c r="I85" s="38"/>
    </row>
    <row r="86" customFormat="false" ht="37.5" hidden="false" customHeight="true" outlineLevel="0" collapsed="false">
      <c r="A86" s="40" t="n">
        <v>82</v>
      </c>
      <c r="B86" s="41" t="s">
        <v>575</v>
      </c>
      <c r="C86" s="42" t="s">
        <v>576</v>
      </c>
      <c r="D86" s="39"/>
      <c r="E86" s="43"/>
      <c r="F86" s="42"/>
      <c r="G86" s="42"/>
      <c r="H86" s="42"/>
      <c r="I86" s="42"/>
    </row>
    <row r="87" customFormat="false" ht="37.5" hidden="false" customHeight="true" outlineLevel="0" collapsed="false">
      <c r="A87" s="36" t="n">
        <v>83</v>
      </c>
      <c r="B87" s="37" t="s">
        <v>577</v>
      </c>
      <c r="C87" s="38" t="s">
        <v>578</v>
      </c>
      <c r="D87" s="39"/>
      <c r="E87" s="39"/>
      <c r="F87" s="38"/>
      <c r="G87" s="38"/>
      <c r="H87" s="38"/>
      <c r="I87" s="38"/>
    </row>
    <row r="88" customFormat="false" ht="37.5" hidden="false" customHeight="true" outlineLevel="0" collapsed="false">
      <c r="A88" s="40" t="n">
        <v>84</v>
      </c>
      <c r="B88" s="41" t="s">
        <v>579</v>
      </c>
      <c r="C88" s="42" t="s">
        <v>580</v>
      </c>
      <c r="D88" s="39"/>
      <c r="E88" s="43"/>
      <c r="F88" s="42"/>
      <c r="G88" s="42"/>
      <c r="H88" s="42"/>
      <c r="I88" s="42"/>
    </row>
    <row r="89" customFormat="false" ht="37.5" hidden="false" customHeight="true" outlineLevel="0" collapsed="false">
      <c r="A89" s="36" t="n">
        <v>85</v>
      </c>
      <c r="B89" s="37" t="s">
        <v>581</v>
      </c>
      <c r="C89" s="38" t="s">
        <v>582</v>
      </c>
      <c r="D89" s="39"/>
      <c r="E89" s="39"/>
      <c r="F89" s="38"/>
      <c r="G89" s="38"/>
      <c r="H89" s="38"/>
      <c r="I89" s="38"/>
    </row>
    <row r="90" customFormat="false" ht="37.5" hidden="false" customHeight="true" outlineLevel="0" collapsed="false">
      <c r="A90" s="40" t="n">
        <v>86</v>
      </c>
      <c r="B90" s="41" t="s">
        <v>583</v>
      </c>
      <c r="C90" s="42" t="s">
        <v>584</v>
      </c>
      <c r="D90" s="39"/>
      <c r="E90" s="43"/>
      <c r="F90" s="42"/>
      <c r="G90" s="42"/>
      <c r="H90" s="42"/>
      <c r="I90" s="42"/>
    </row>
    <row r="91" customFormat="false" ht="37.5" hidden="false" customHeight="true" outlineLevel="0" collapsed="false">
      <c r="A91" s="36" t="n">
        <v>87</v>
      </c>
      <c r="B91" s="37" t="s">
        <v>585</v>
      </c>
      <c r="C91" s="38" t="s">
        <v>586</v>
      </c>
      <c r="D91" s="39"/>
      <c r="E91" s="39"/>
      <c r="F91" s="38"/>
      <c r="G91" s="38"/>
      <c r="H91" s="38"/>
      <c r="I91" s="38"/>
    </row>
    <row r="92" customFormat="false" ht="37.5" hidden="false" customHeight="true" outlineLevel="0" collapsed="false">
      <c r="A92" s="40" t="n">
        <v>88</v>
      </c>
      <c r="B92" s="41" t="s">
        <v>587</v>
      </c>
      <c r="C92" s="42" t="s">
        <v>588</v>
      </c>
      <c r="D92" s="39"/>
      <c r="E92" s="43"/>
      <c r="F92" s="42"/>
      <c r="G92" s="42"/>
      <c r="H92" s="42"/>
      <c r="I92" s="42"/>
    </row>
    <row r="93" customFormat="false" ht="37.5" hidden="false" customHeight="true" outlineLevel="0" collapsed="false">
      <c r="A93" s="36" t="n">
        <v>89</v>
      </c>
      <c r="B93" s="37" t="s">
        <v>589</v>
      </c>
      <c r="C93" s="38" t="s">
        <v>590</v>
      </c>
      <c r="D93" s="39"/>
      <c r="E93" s="39"/>
      <c r="F93" s="38"/>
      <c r="G93" s="38"/>
      <c r="H93" s="38"/>
      <c r="I93" s="38"/>
    </row>
    <row r="94" customFormat="false" ht="37.5" hidden="false" customHeight="true" outlineLevel="0" collapsed="false">
      <c r="A94" s="40" t="n">
        <v>90</v>
      </c>
      <c r="B94" s="41" t="s">
        <v>591</v>
      </c>
      <c r="C94" s="42" t="s">
        <v>592</v>
      </c>
      <c r="D94" s="39"/>
      <c r="E94" s="43"/>
      <c r="F94" s="42"/>
      <c r="G94" s="42"/>
      <c r="H94" s="42"/>
      <c r="I94" s="42"/>
    </row>
    <row r="95" customFormat="false" ht="37.5" hidden="false" customHeight="true" outlineLevel="0" collapsed="false">
      <c r="A95" s="36" t="n">
        <v>91</v>
      </c>
      <c r="B95" s="37" t="s">
        <v>593</v>
      </c>
      <c r="C95" s="38" t="s">
        <v>594</v>
      </c>
      <c r="D95" s="39"/>
      <c r="E95" s="39"/>
      <c r="F95" s="38"/>
      <c r="G95" s="38"/>
      <c r="H95" s="38"/>
      <c r="I95" s="38"/>
    </row>
    <row r="96" customFormat="false" ht="37.5" hidden="false" customHeight="true" outlineLevel="0" collapsed="false">
      <c r="A96" s="40" t="n">
        <v>92</v>
      </c>
      <c r="B96" s="41" t="s">
        <v>595</v>
      </c>
      <c r="C96" s="42" t="s">
        <v>596</v>
      </c>
      <c r="D96" s="39"/>
      <c r="E96" s="43"/>
      <c r="F96" s="42"/>
      <c r="G96" s="42"/>
      <c r="H96" s="42"/>
      <c r="I96" s="42"/>
    </row>
    <row r="97" customFormat="false" ht="37.5" hidden="false" customHeight="true" outlineLevel="0" collapsed="false">
      <c r="A97" s="36" t="n">
        <v>93</v>
      </c>
      <c r="B97" s="37" t="s">
        <v>597</v>
      </c>
      <c r="C97" s="38" t="s">
        <v>598</v>
      </c>
      <c r="D97" s="39"/>
      <c r="E97" s="39"/>
      <c r="F97" s="38"/>
      <c r="G97" s="38"/>
      <c r="H97" s="38"/>
      <c r="I97" s="38"/>
    </row>
    <row r="98" customFormat="false" ht="37.5" hidden="false" customHeight="true" outlineLevel="0" collapsed="false">
      <c r="A98" s="40" t="n">
        <v>94</v>
      </c>
      <c r="B98" s="41" t="s">
        <v>599</v>
      </c>
      <c r="C98" s="42" t="s">
        <v>600</v>
      </c>
      <c r="D98" s="39"/>
      <c r="E98" s="43"/>
      <c r="F98" s="42"/>
      <c r="G98" s="42"/>
      <c r="H98" s="42"/>
      <c r="I98" s="42"/>
    </row>
    <row r="99" customFormat="false" ht="37.5" hidden="false" customHeight="true" outlineLevel="0" collapsed="false">
      <c r="A99" s="36" t="n">
        <v>95</v>
      </c>
      <c r="B99" s="37" t="s">
        <v>601</v>
      </c>
      <c r="C99" s="38" t="s">
        <v>602</v>
      </c>
      <c r="D99" s="39"/>
      <c r="E99" s="39"/>
      <c r="F99" s="38"/>
      <c r="G99" s="38"/>
      <c r="H99" s="38"/>
      <c r="I99" s="38"/>
    </row>
    <row r="100" customFormat="false" ht="37.5" hidden="false" customHeight="true" outlineLevel="0" collapsed="false">
      <c r="A100" s="40" t="n">
        <v>96</v>
      </c>
      <c r="B100" s="41" t="s">
        <v>603</v>
      </c>
      <c r="C100" s="42" t="s">
        <v>604</v>
      </c>
      <c r="D100" s="39"/>
      <c r="E100" s="43"/>
      <c r="F100" s="42"/>
      <c r="G100" s="42"/>
      <c r="H100" s="42"/>
      <c r="I100" s="42"/>
    </row>
    <row r="101" customFormat="false" ht="37.5" hidden="false" customHeight="true" outlineLevel="0" collapsed="false">
      <c r="A101" s="36" t="n">
        <v>97</v>
      </c>
      <c r="B101" s="37" t="s">
        <v>605</v>
      </c>
      <c r="C101" s="38" t="s">
        <v>606</v>
      </c>
      <c r="D101" s="39"/>
      <c r="E101" s="39"/>
      <c r="F101" s="38"/>
      <c r="G101" s="38"/>
      <c r="H101" s="38"/>
      <c r="I101" s="38"/>
    </row>
    <row r="102" customFormat="false" ht="37.5" hidden="false" customHeight="true" outlineLevel="0" collapsed="false">
      <c r="A102" s="40" t="n">
        <v>98</v>
      </c>
      <c r="B102" s="41" t="s">
        <v>607</v>
      </c>
      <c r="C102" s="42" t="s">
        <v>608</v>
      </c>
      <c r="D102" s="39"/>
      <c r="E102" s="43"/>
      <c r="F102" s="42"/>
      <c r="G102" s="42"/>
      <c r="H102" s="42"/>
      <c r="I102" s="42"/>
    </row>
    <row r="103" customFormat="false" ht="37.5" hidden="false" customHeight="true" outlineLevel="0" collapsed="false">
      <c r="A103" s="36" t="n">
        <v>99</v>
      </c>
      <c r="B103" s="37" t="s">
        <v>609</v>
      </c>
      <c r="C103" s="38" t="s">
        <v>610</v>
      </c>
      <c r="D103" s="39"/>
      <c r="E103" s="39"/>
      <c r="F103" s="38"/>
      <c r="G103" s="38"/>
      <c r="H103" s="38"/>
      <c r="I103" s="38"/>
    </row>
    <row r="104" customFormat="false" ht="37.5" hidden="false" customHeight="true" outlineLevel="0" collapsed="false">
      <c r="A104" s="40" t="n">
        <v>100</v>
      </c>
      <c r="B104" s="41" t="s">
        <v>611</v>
      </c>
      <c r="C104" s="42" t="s">
        <v>612</v>
      </c>
      <c r="D104" s="39"/>
      <c r="E104" s="43"/>
      <c r="F104" s="42"/>
      <c r="G104" s="42"/>
      <c r="H104" s="42"/>
      <c r="I104" s="42"/>
    </row>
    <row r="105" customFormat="false" ht="37.5" hidden="false" customHeight="true" outlineLevel="0" collapsed="false">
      <c r="A105" s="36" t="n">
        <v>101</v>
      </c>
      <c r="B105" s="37" t="s">
        <v>613</v>
      </c>
      <c r="C105" s="38" t="s">
        <v>614</v>
      </c>
      <c r="D105" s="39"/>
      <c r="E105" s="39"/>
      <c r="F105" s="38"/>
      <c r="G105" s="38"/>
      <c r="H105" s="38"/>
      <c r="I105" s="38"/>
    </row>
  </sheetData>
  <autoFilter ref="A4:I105"/>
  <mergeCells count="2">
    <mergeCell ref="A1:I1"/>
    <mergeCell ref="A2:I2"/>
  </mergeCells>
  <conditionalFormatting sqref="D5:D105">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615</v>
      </c>
      <c r="B1" s="35"/>
      <c r="C1" s="35"/>
      <c r="D1" s="35"/>
      <c r="E1" s="35"/>
      <c r="F1" s="35"/>
      <c r="G1" s="35"/>
      <c r="H1" s="35"/>
      <c r="I1" s="35"/>
    </row>
    <row r="2" customFormat="false" ht="19.5" hidden="false" customHeight="true" outlineLevel="0" collapsed="false">
      <c r="A2" s="18" t="s">
        <v>616</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617</v>
      </c>
      <c r="C5" s="38" t="s">
        <v>618</v>
      </c>
      <c r="D5" s="39"/>
      <c r="E5" s="39"/>
      <c r="F5" s="38"/>
      <c r="G5" s="38"/>
      <c r="H5" s="38"/>
      <c r="I5" s="38"/>
    </row>
    <row r="6" customFormat="false" ht="37.5" hidden="false" customHeight="true" outlineLevel="0" collapsed="false">
      <c r="A6" s="40" t="n">
        <v>2</v>
      </c>
      <c r="B6" s="41" t="s">
        <v>619</v>
      </c>
      <c r="C6" s="42" t="s">
        <v>620</v>
      </c>
      <c r="D6" s="39"/>
      <c r="E6" s="43"/>
      <c r="F6" s="42"/>
      <c r="G6" s="42"/>
      <c r="H6" s="42"/>
      <c r="I6" s="42"/>
    </row>
    <row r="7" customFormat="false" ht="37.5" hidden="false" customHeight="true" outlineLevel="0" collapsed="false">
      <c r="A7" s="36" t="n">
        <v>3</v>
      </c>
      <c r="B7" s="37" t="s">
        <v>621</v>
      </c>
      <c r="C7" s="38" t="s">
        <v>622</v>
      </c>
      <c r="D7" s="39"/>
      <c r="E7" s="39"/>
      <c r="F7" s="38"/>
      <c r="G7" s="38"/>
      <c r="H7" s="38"/>
      <c r="I7" s="38"/>
    </row>
    <row r="8" customFormat="false" ht="37.5" hidden="false" customHeight="true" outlineLevel="0" collapsed="false">
      <c r="A8" s="40" t="n">
        <v>4</v>
      </c>
      <c r="B8" s="41" t="s">
        <v>623</v>
      </c>
      <c r="C8" s="42" t="s">
        <v>624</v>
      </c>
      <c r="D8" s="39"/>
      <c r="E8" s="43"/>
      <c r="F8" s="42"/>
      <c r="G8" s="42"/>
      <c r="H8" s="42"/>
      <c r="I8" s="42"/>
    </row>
    <row r="9" customFormat="false" ht="37.5" hidden="false" customHeight="true" outlineLevel="0" collapsed="false">
      <c r="A9" s="36" t="n">
        <v>5</v>
      </c>
      <c r="B9" s="37" t="s">
        <v>625</v>
      </c>
      <c r="C9" s="38" t="s">
        <v>626</v>
      </c>
      <c r="D9" s="39"/>
      <c r="E9" s="39"/>
      <c r="F9" s="38"/>
      <c r="G9" s="38"/>
      <c r="H9" s="38"/>
      <c r="I9" s="38"/>
    </row>
    <row r="10" customFormat="false" ht="37.5" hidden="false" customHeight="true" outlineLevel="0" collapsed="false">
      <c r="A10" s="40" t="n">
        <v>6</v>
      </c>
      <c r="B10" s="41" t="s">
        <v>627</v>
      </c>
      <c r="C10" s="42" t="s">
        <v>628</v>
      </c>
      <c r="D10" s="39"/>
      <c r="E10" s="43"/>
      <c r="F10" s="42"/>
      <c r="G10" s="42"/>
      <c r="H10" s="42"/>
      <c r="I10" s="42"/>
    </row>
    <row r="11" customFormat="false" ht="37.5" hidden="false" customHeight="true" outlineLevel="0" collapsed="false">
      <c r="A11" s="36" t="n">
        <v>7</v>
      </c>
      <c r="B11" s="37" t="s">
        <v>629</v>
      </c>
      <c r="C11" s="38" t="s">
        <v>630</v>
      </c>
      <c r="D11" s="39"/>
      <c r="E11" s="39"/>
      <c r="F11" s="38"/>
      <c r="G11" s="38"/>
      <c r="H11" s="38"/>
      <c r="I11" s="38"/>
    </row>
    <row r="12" customFormat="false" ht="37.5" hidden="false" customHeight="true" outlineLevel="0" collapsed="false">
      <c r="A12" s="40" t="n">
        <v>8</v>
      </c>
      <c r="B12" s="41" t="s">
        <v>631</v>
      </c>
      <c r="C12" s="42" t="s">
        <v>632</v>
      </c>
      <c r="D12" s="39"/>
      <c r="E12" s="43"/>
      <c r="F12" s="42"/>
      <c r="G12" s="42"/>
      <c r="H12" s="42"/>
      <c r="I12" s="42"/>
    </row>
    <row r="13" customFormat="false" ht="37.5" hidden="false" customHeight="true" outlineLevel="0" collapsed="false">
      <c r="A13" s="36" t="n">
        <v>9</v>
      </c>
      <c r="B13" s="37" t="s">
        <v>633</v>
      </c>
      <c r="C13" s="38" t="s">
        <v>634</v>
      </c>
      <c r="D13" s="39"/>
      <c r="E13" s="39"/>
      <c r="F13" s="38"/>
      <c r="G13" s="38"/>
      <c r="H13" s="38"/>
      <c r="I13" s="38"/>
    </row>
    <row r="14" customFormat="false" ht="37.5" hidden="false" customHeight="true" outlineLevel="0" collapsed="false">
      <c r="A14" s="40" t="n">
        <v>10</v>
      </c>
      <c r="B14" s="41" t="s">
        <v>635</v>
      </c>
      <c r="C14" s="42" t="s">
        <v>636</v>
      </c>
      <c r="D14" s="39"/>
      <c r="E14" s="43"/>
      <c r="F14" s="42"/>
      <c r="G14" s="42"/>
      <c r="H14" s="42"/>
      <c r="I14" s="42"/>
    </row>
    <row r="15" customFormat="false" ht="37.5" hidden="false" customHeight="true" outlineLevel="0" collapsed="false">
      <c r="A15" s="36" t="n">
        <v>11</v>
      </c>
      <c r="B15" s="37" t="s">
        <v>637</v>
      </c>
      <c r="C15" s="38" t="s">
        <v>638</v>
      </c>
      <c r="D15" s="39"/>
      <c r="E15" s="39"/>
      <c r="F15" s="38"/>
      <c r="G15" s="38"/>
      <c r="H15" s="38"/>
      <c r="I15" s="38"/>
    </row>
    <row r="16" customFormat="false" ht="37.5" hidden="false" customHeight="true" outlineLevel="0" collapsed="false">
      <c r="A16" s="40" t="n">
        <v>12</v>
      </c>
      <c r="B16" s="41" t="s">
        <v>639</v>
      </c>
      <c r="C16" s="42" t="s">
        <v>640</v>
      </c>
      <c r="D16" s="39"/>
      <c r="E16" s="43"/>
      <c r="F16" s="42"/>
      <c r="G16" s="42"/>
      <c r="H16" s="42"/>
      <c r="I16" s="42"/>
    </row>
    <row r="17" customFormat="false" ht="37.5" hidden="false" customHeight="true" outlineLevel="0" collapsed="false">
      <c r="A17" s="36" t="n">
        <v>13</v>
      </c>
      <c r="B17" s="37" t="s">
        <v>641</v>
      </c>
      <c r="C17" s="38" t="s">
        <v>642</v>
      </c>
      <c r="D17" s="39"/>
      <c r="E17" s="39"/>
      <c r="F17" s="38"/>
      <c r="G17" s="38"/>
      <c r="H17" s="38"/>
      <c r="I17" s="38"/>
    </row>
    <row r="18" customFormat="false" ht="37.5" hidden="false" customHeight="true" outlineLevel="0" collapsed="false">
      <c r="A18" s="40" t="n">
        <v>14</v>
      </c>
      <c r="B18" s="41" t="s">
        <v>643</v>
      </c>
      <c r="C18" s="42" t="s">
        <v>644</v>
      </c>
      <c r="D18" s="39"/>
      <c r="E18" s="43"/>
      <c r="F18" s="42"/>
      <c r="G18" s="42"/>
      <c r="H18" s="42"/>
      <c r="I18" s="42"/>
    </row>
    <row r="19" customFormat="false" ht="37.5" hidden="false" customHeight="true" outlineLevel="0" collapsed="false">
      <c r="A19" s="36" t="n">
        <v>15</v>
      </c>
      <c r="B19" s="37" t="s">
        <v>645</v>
      </c>
      <c r="C19" s="38" t="s">
        <v>646</v>
      </c>
      <c r="D19" s="39"/>
      <c r="E19" s="39"/>
      <c r="F19" s="38"/>
      <c r="G19" s="38"/>
      <c r="H19" s="38"/>
      <c r="I19" s="38"/>
    </row>
    <row r="20" customFormat="false" ht="37.5" hidden="false" customHeight="true" outlineLevel="0" collapsed="false">
      <c r="A20" s="40" t="n">
        <v>16</v>
      </c>
      <c r="B20" s="41" t="s">
        <v>647</v>
      </c>
      <c r="C20" s="42" t="s">
        <v>648</v>
      </c>
      <c r="D20" s="39"/>
      <c r="E20" s="43"/>
      <c r="F20" s="42"/>
      <c r="G20" s="42"/>
      <c r="H20" s="42"/>
      <c r="I20" s="42"/>
    </row>
    <row r="21" customFormat="false" ht="37.5" hidden="false" customHeight="true" outlineLevel="0" collapsed="false">
      <c r="A21" s="36" t="n">
        <v>17</v>
      </c>
      <c r="B21" s="37" t="s">
        <v>649</v>
      </c>
      <c r="C21" s="38" t="s">
        <v>650</v>
      </c>
      <c r="D21" s="39"/>
      <c r="E21" s="39"/>
      <c r="F21" s="38"/>
      <c r="G21" s="38"/>
      <c r="H21" s="38"/>
      <c r="I21" s="38"/>
    </row>
    <row r="22" customFormat="false" ht="37.5" hidden="false" customHeight="true" outlineLevel="0" collapsed="false">
      <c r="A22" s="40" t="n">
        <v>18</v>
      </c>
      <c r="B22" s="41" t="s">
        <v>651</v>
      </c>
      <c r="C22" s="42" t="s">
        <v>652</v>
      </c>
      <c r="D22" s="39"/>
      <c r="E22" s="43"/>
      <c r="F22" s="42"/>
      <c r="G22" s="42"/>
      <c r="H22" s="42"/>
      <c r="I22" s="42"/>
    </row>
    <row r="23" customFormat="false" ht="37.5" hidden="false" customHeight="true" outlineLevel="0" collapsed="false">
      <c r="A23" s="36" t="n">
        <v>19</v>
      </c>
      <c r="B23" s="37" t="s">
        <v>653</v>
      </c>
      <c r="C23" s="38" t="s">
        <v>654</v>
      </c>
      <c r="D23" s="39"/>
      <c r="E23" s="39"/>
      <c r="F23" s="38"/>
      <c r="G23" s="38"/>
      <c r="H23" s="38"/>
      <c r="I23" s="38"/>
    </row>
    <row r="24" customFormat="false" ht="37.5" hidden="false" customHeight="true" outlineLevel="0" collapsed="false">
      <c r="A24" s="40" t="n">
        <v>20</v>
      </c>
      <c r="B24" s="41" t="s">
        <v>655</v>
      </c>
      <c r="C24" s="42" t="s">
        <v>656</v>
      </c>
      <c r="D24" s="39"/>
      <c r="E24" s="43"/>
      <c r="F24" s="42"/>
      <c r="G24" s="42"/>
      <c r="H24" s="42"/>
      <c r="I24" s="42"/>
    </row>
    <row r="25" customFormat="false" ht="37.5" hidden="false" customHeight="true" outlineLevel="0" collapsed="false">
      <c r="A25" s="36" t="n">
        <v>21</v>
      </c>
      <c r="B25" s="37" t="s">
        <v>657</v>
      </c>
      <c r="C25" s="38" t="s">
        <v>658</v>
      </c>
      <c r="D25" s="39"/>
      <c r="E25" s="39"/>
      <c r="F25" s="38"/>
      <c r="G25" s="38"/>
      <c r="H25" s="38"/>
      <c r="I25" s="38"/>
    </row>
    <row r="26" customFormat="false" ht="37.5" hidden="false" customHeight="true" outlineLevel="0" collapsed="false">
      <c r="A26" s="40" t="n">
        <v>22</v>
      </c>
      <c r="B26" s="41" t="s">
        <v>659</v>
      </c>
      <c r="C26" s="42" t="s">
        <v>660</v>
      </c>
      <c r="D26" s="39"/>
      <c r="E26" s="43"/>
      <c r="F26" s="42"/>
      <c r="G26" s="42"/>
      <c r="H26" s="42"/>
      <c r="I26" s="42"/>
    </row>
    <row r="27" customFormat="false" ht="37.5" hidden="false" customHeight="true" outlineLevel="0" collapsed="false">
      <c r="A27" s="36" t="n">
        <v>23</v>
      </c>
      <c r="B27" s="37" t="s">
        <v>661</v>
      </c>
      <c r="C27" s="38" t="s">
        <v>662</v>
      </c>
      <c r="D27" s="39"/>
      <c r="E27" s="39"/>
      <c r="F27" s="38"/>
      <c r="G27" s="38"/>
      <c r="H27" s="38"/>
      <c r="I27" s="38"/>
    </row>
    <row r="28" customFormat="false" ht="37.5" hidden="false" customHeight="true" outlineLevel="0" collapsed="false">
      <c r="A28" s="40" t="n">
        <v>24</v>
      </c>
      <c r="B28" s="41" t="s">
        <v>663</v>
      </c>
      <c r="C28" s="42" t="s">
        <v>664</v>
      </c>
      <c r="D28" s="39"/>
      <c r="E28" s="43"/>
      <c r="F28" s="42"/>
      <c r="G28" s="42"/>
      <c r="H28" s="42"/>
      <c r="I28" s="42"/>
    </row>
    <row r="29" customFormat="false" ht="37.5" hidden="false" customHeight="true" outlineLevel="0" collapsed="false">
      <c r="A29" s="36" t="n">
        <v>25</v>
      </c>
      <c r="B29" s="37" t="s">
        <v>665</v>
      </c>
      <c r="C29" s="38" t="s">
        <v>666</v>
      </c>
      <c r="D29" s="39"/>
      <c r="E29" s="39"/>
      <c r="F29" s="38"/>
      <c r="G29" s="38"/>
      <c r="H29" s="38"/>
      <c r="I29" s="38"/>
    </row>
    <row r="30" customFormat="false" ht="37.5" hidden="false" customHeight="true" outlineLevel="0" collapsed="false">
      <c r="A30" s="40" t="n">
        <v>26</v>
      </c>
      <c r="B30" s="41" t="s">
        <v>667</v>
      </c>
      <c r="C30" s="42" t="s">
        <v>668</v>
      </c>
      <c r="D30" s="39"/>
      <c r="E30" s="43"/>
      <c r="F30" s="42"/>
      <c r="G30" s="42"/>
      <c r="H30" s="42"/>
      <c r="I30" s="42"/>
    </row>
    <row r="31" customFormat="false" ht="37.5" hidden="false" customHeight="true" outlineLevel="0" collapsed="false">
      <c r="A31" s="36" t="n">
        <v>27</v>
      </c>
      <c r="B31" s="37" t="s">
        <v>669</v>
      </c>
      <c r="C31" s="38" t="s">
        <v>670</v>
      </c>
      <c r="D31" s="39"/>
      <c r="E31" s="39"/>
      <c r="F31" s="38"/>
      <c r="G31" s="38"/>
      <c r="H31" s="38"/>
      <c r="I31" s="38"/>
    </row>
    <row r="32" customFormat="false" ht="37.5" hidden="false" customHeight="true" outlineLevel="0" collapsed="false">
      <c r="A32" s="40" t="n">
        <v>28</v>
      </c>
      <c r="B32" s="41" t="s">
        <v>671</v>
      </c>
      <c r="C32" s="42" t="s">
        <v>672</v>
      </c>
      <c r="D32" s="39"/>
      <c r="E32" s="43"/>
      <c r="F32" s="42"/>
      <c r="G32" s="42"/>
      <c r="H32" s="42"/>
      <c r="I32" s="42"/>
    </row>
    <row r="33" customFormat="false" ht="37.5" hidden="false" customHeight="true" outlineLevel="0" collapsed="false">
      <c r="A33" s="36" t="n">
        <v>29</v>
      </c>
      <c r="B33" s="37" t="s">
        <v>673</v>
      </c>
      <c r="C33" s="38" t="s">
        <v>674</v>
      </c>
      <c r="D33" s="39"/>
      <c r="E33" s="39"/>
      <c r="F33" s="38"/>
      <c r="G33" s="38"/>
      <c r="H33" s="38"/>
      <c r="I33" s="38"/>
    </row>
    <row r="34" customFormat="false" ht="37.5" hidden="false" customHeight="true" outlineLevel="0" collapsed="false">
      <c r="A34" s="40" t="n">
        <v>30</v>
      </c>
      <c r="B34" s="41" t="s">
        <v>675</v>
      </c>
      <c r="C34" s="42" t="s">
        <v>676</v>
      </c>
      <c r="D34" s="39"/>
      <c r="E34" s="43"/>
      <c r="F34" s="42"/>
      <c r="G34" s="42"/>
      <c r="H34" s="42"/>
      <c r="I34" s="42"/>
    </row>
    <row r="35" customFormat="false" ht="37.5" hidden="false" customHeight="true" outlineLevel="0" collapsed="false">
      <c r="A35" s="36" t="n">
        <v>31</v>
      </c>
      <c r="B35" s="37" t="s">
        <v>677</v>
      </c>
      <c r="C35" s="38" t="s">
        <v>678</v>
      </c>
      <c r="D35" s="39"/>
      <c r="E35" s="39"/>
      <c r="F35" s="38"/>
      <c r="G35" s="38"/>
      <c r="H35" s="38"/>
      <c r="I35" s="38"/>
    </row>
    <row r="36" customFormat="false" ht="37.5" hidden="false" customHeight="true" outlineLevel="0" collapsed="false">
      <c r="A36" s="40" t="n">
        <v>32</v>
      </c>
      <c r="B36" s="41" t="s">
        <v>679</v>
      </c>
      <c r="C36" s="42" t="s">
        <v>680</v>
      </c>
      <c r="D36" s="39"/>
      <c r="E36" s="43"/>
      <c r="F36" s="42"/>
      <c r="G36" s="42"/>
      <c r="H36" s="42"/>
      <c r="I36" s="42"/>
    </row>
    <row r="37" customFormat="false" ht="37.5" hidden="false" customHeight="true" outlineLevel="0" collapsed="false">
      <c r="A37" s="36" t="n">
        <v>33</v>
      </c>
      <c r="B37" s="37" t="s">
        <v>681</v>
      </c>
      <c r="C37" s="38" t="s">
        <v>682</v>
      </c>
      <c r="D37" s="39"/>
      <c r="E37" s="39"/>
      <c r="F37" s="38"/>
      <c r="G37" s="38"/>
      <c r="H37" s="38"/>
      <c r="I37" s="38"/>
    </row>
    <row r="38" customFormat="false" ht="37.5" hidden="false" customHeight="true" outlineLevel="0" collapsed="false">
      <c r="A38" s="40" t="n">
        <v>34</v>
      </c>
      <c r="B38" s="41" t="s">
        <v>683</v>
      </c>
      <c r="C38" s="42" t="s">
        <v>684</v>
      </c>
      <c r="D38" s="39"/>
      <c r="E38" s="43"/>
      <c r="F38" s="42"/>
      <c r="G38" s="42"/>
      <c r="H38" s="42"/>
      <c r="I38" s="42"/>
    </row>
    <row r="39" customFormat="false" ht="37.5" hidden="false" customHeight="true" outlineLevel="0" collapsed="false">
      <c r="A39" s="36" t="n">
        <v>35</v>
      </c>
      <c r="B39" s="37" t="s">
        <v>685</v>
      </c>
      <c r="C39" s="38" t="s">
        <v>686</v>
      </c>
      <c r="D39" s="39"/>
      <c r="E39" s="39"/>
      <c r="F39" s="38"/>
      <c r="G39" s="38"/>
      <c r="H39" s="38"/>
      <c r="I39" s="38"/>
    </row>
    <row r="40" customFormat="false" ht="37.5" hidden="false" customHeight="true" outlineLevel="0" collapsed="false">
      <c r="A40" s="40" t="n">
        <v>36</v>
      </c>
      <c r="B40" s="41" t="s">
        <v>687</v>
      </c>
      <c r="C40" s="42" t="s">
        <v>688</v>
      </c>
      <c r="D40" s="39"/>
      <c r="E40" s="43"/>
      <c r="F40" s="42"/>
      <c r="G40" s="42"/>
      <c r="H40" s="42"/>
      <c r="I40" s="42"/>
    </row>
    <row r="41" customFormat="false" ht="37.5" hidden="false" customHeight="true" outlineLevel="0" collapsed="false">
      <c r="A41" s="36" t="n">
        <v>37</v>
      </c>
      <c r="B41" s="37" t="s">
        <v>689</v>
      </c>
      <c r="C41" s="38" t="s">
        <v>690</v>
      </c>
      <c r="D41" s="39"/>
      <c r="E41" s="39"/>
      <c r="F41" s="38"/>
      <c r="G41" s="38"/>
      <c r="H41" s="38"/>
      <c r="I41" s="38"/>
    </row>
    <row r="42" customFormat="false" ht="37.5" hidden="false" customHeight="true" outlineLevel="0" collapsed="false">
      <c r="A42" s="40" t="n">
        <v>38</v>
      </c>
      <c r="B42" s="41" t="s">
        <v>691</v>
      </c>
      <c r="C42" s="42" t="s">
        <v>692</v>
      </c>
      <c r="D42" s="39"/>
      <c r="E42" s="43"/>
      <c r="F42" s="42"/>
      <c r="G42" s="42"/>
      <c r="H42" s="42"/>
      <c r="I42" s="42"/>
    </row>
    <row r="43" customFormat="false" ht="37.5" hidden="false" customHeight="true" outlineLevel="0" collapsed="false">
      <c r="A43" s="36" t="n">
        <v>39</v>
      </c>
      <c r="B43" s="37" t="s">
        <v>693</v>
      </c>
      <c r="C43" s="38" t="s">
        <v>694</v>
      </c>
      <c r="D43" s="39"/>
      <c r="E43" s="39"/>
      <c r="F43" s="38"/>
      <c r="G43" s="38"/>
      <c r="H43" s="38"/>
      <c r="I43" s="38"/>
    </row>
    <row r="44" customFormat="false" ht="37.5" hidden="false" customHeight="true" outlineLevel="0" collapsed="false">
      <c r="A44" s="40" t="n">
        <v>40</v>
      </c>
      <c r="B44" s="41" t="s">
        <v>695</v>
      </c>
      <c r="C44" s="42" t="s">
        <v>696</v>
      </c>
      <c r="D44" s="39"/>
      <c r="E44" s="43"/>
      <c r="F44" s="42"/>
      <c r="G44" s="42"/>
      <c r="H44" s="42"/>
      <c r="I44" s="42"/>
    </row>
    <row r="45" customFormat="false" ht="37.5" hidden="false" customHeight="true" outlineLevel="0" collapsed="false">
      <c r="A45" s="36" t="n">
        <v>41</v>
      </c>
      <c r="B45" s="37" t="s">
        <v>697</v>
      </c>
      <c r="C45" s="38" t="s">
        <v>698</v>
      </c>
      <c r="D45" s="39"/>
      <c r="E45" s="39"/>
      <c r="F45" s="38"/>
      <c r="G45" s="38"/>
      <c r="H45" s="38"/>
      <c r="I45" s="38"/>
    </row>
    <row r="46" customFormat="false" ht="37.5" hidden="false" customHeight="true" outlineLevel="0" collapsed="false">
      <c r="A46" s="40" t="n">
        <v>42</v>
      </c>
      <c r="B46" s="41" t="s">
        <v>699</v>
      </c>
      <c r="C46" s="42" t="s">
        <v>700</v>
      </c>
      <c r="D46" s="39"/>
      <c r="E46" s="43"/>
      <c r="F46" s="42"/>
      <c r="G46" s="42"/>
      <c r="H46" s="42"/>
      <c r="I46" s="42"/>
    </row>
    <row r="47" customFormat="false" ht="37.5" hidden="false" customHeight="true" outlineLevel="0" collapsed="false">
      <c r="A47" s="36" t="n">
        <v>43</v>
      </c>
      <c r="B47" s="37" t="s">
        <v>701</v>
      </c>
      <c r="C47" s="38" t="s">
        <v>702</v>
      </c>
      <c r="D47" s="39"/>
      <c r="E47" s="39"/>
      <c r="F47" s="38"/>
      <c r="G47" s="38"/>
      <c r="H47" s="38"/>
      <c r="I47" s="38"/>
    </row>
    <row r="48" customFormat="false" ht="37.5" hidden="false" customHeight="true" outlineLevel="0" collapsed="false">
      <c r="A48" s="40" t="n">
        <v>44</v>
      </c>
      <c r="B48" s="41" t="s">
        <v>703</v>
      </c>
      <c r="C48" s="42" t="s">
        <v>704</v>
      </c>
      <c r="D48" s="39"/>
      <c r="E48" s="43"/>
      <c r="F48" s="42"/>
      <c r="G48" s="42"/>
      <c r="H48" s="42"/>
      <c r="I48" s="42"/>
    </row>
    <row r="49" customFormat="false" ht="37.5" hidden="false" customHeight="true" outlineLevel="0" collapsed="false">
      <c r="A49" s="36" t="n">
        <v>45</v>
      </c>
      <c r="B49" s="37" t="s">
        <v>705</v>
      </c>
      <c r="C49" s="38" t="s">
        <v>706</v>
      </c>
      <c r="D49" s="39"/>
      <c r="E49" s="39"/>
      <c r="F49" s="38"/>
      <c r="G49" s="38"/>
      <c r="H49" s="38"/>
      <c r="I49" s="38"/>
    </row>
    <row r="50" customFormat="false" ht="37.5" hidden="false" customHeight="true" outlineLevel="0" collapsed="false">
      <c r="A50" s="40" t="n">
        <v>46</v>
      </c>
      <c r="B50" s="41" t="s">
        <v>707</v>
      </c>
      <c r="C50" s="42" t="s">
        <v>708</v>
      </c>
      <c r="D50" s="39"/>
      <c r="E50" s="43"/>
      <c r="F50" s="42"/>
      <c r="G50" s="42"/>
      <c r="H50" s="42"/>
      <c r="I50" s="42"/>
    </row>
    <row r="51" customFormat="false" ht="37.5" hidden="false" customHeight="true" outlineLevel="0" collapsed="false">
      <c r="A51" s="36" t="n">
        <v>47</v>
      </c>
      <c r="B51" s="37" t="s">
        <v>709</v>
      </c>
      <c r="C51" s="38" t="s">
        <v>710</v>
      </c>
      <c r="D51" s="39"/>
      <c r="E51" s="39"/>
      <c r="F51" s="38"/>
      <c r="G51" s="38"/>
      <c r="H51" s="38"/>
      <c r="I51" s="38"/>
    </row>
    <row r="52" customFormat="false" ht="37.5" hidden="false" customHeight="true" outlineLevel="0" collapsed="false">
      <c r="A52" s="40" t="n">
        <v>48</v>
      </c>
      <c r="B52" s="41" t="s">
        <v>711</v>
      </c>
      <c r="C52" s="42" t="s">
        <v>712</v>
      </c>
      <c r="D52" s="39"/>
      <c r="E52" s="43"/>
      <c r="F52" s="42"/>
      <c r="G52" s="42"/>
      <c r="H52" s="42"/>
      <c r="I52" s="42"/>
    </row>
    <row r="53" customFormat="false" ht="37.5" hidden="false" customHeight="true" outlineLevel="0" collapsed="false">
      <c r="A53" s="36" t="n">
        <v>49</v>
      </c>
      <c r="B53" s="37" t="s">
        <v>713</v>
      </c>
      <c r="C53" s="38" t="s">
        <v>714</v>
      </c>
      <c r="D53" s="39"/>
      <c r="E53" s="39"/>
      <c r="F53" s="38"/>
      <c r="G53" s="38"/>
      <c r="H53" s="38"/>
      <c r="I53" s="38"/>
    </row>
    <row r="54" customFormat="false" ht="37.5" hidden="false" customHeight="true" outlineLevel="0" collapsed="false">
      <c r="A54" s="40" t="n">
        <v>50</v>
      </c>
      <c r="B54" s="41" t="s">
        <v>715</v>
      </c>
      <c r="C54" s="42" t="s">
        <v>716</v>
      </c>
      <c r="D54" s="39"/>
      <c r="E54" s="43"/>
      <c r="F54" s="42"/>
      <c r="G54" s="42"/>
      <c r="H54" s="42"/>
      <c r="I54" s="42"/>
    </row>
    <row r="55" customFormat="false" ht="37.5" hidden="false" customHeight="true" outlineLevel="0" collapsed="false">
      <c r="A55" s="36" t="n">
        <v>51</v>
      </c>
      <c r="B55" s="37" t="s">
        <v>717</v>
      </c>
      <c r="C55" s="38" t="s">
        <v>718</v>
      </c>
      <c r="D55" s="39"/>
      <c r="E55" s="39"/>
      <c r="F55" s="38"/>
      <c r="G55" s="38"/>
      <c r="H55" s="38"/>
      <c r="I55" s="38"/>
    </row>
    <row r="56" customFormat="false" ht="37.5" hidden="false" customHeight="true" outlineLevel="0" collapsed="false">
      <c r="A56" s="40" t="n">
        <v>52</v>
      </c>
      <c r="B56" s="41" t="s">
        <v>719</v>
      </c>
      <c r="C56" s="42" t="s">
        <v>720</v>
      </c>
      <c r="D56" s="39"/>
      <c r="E56" s="43"/>
      <c r="F56" s="42"/>
      <c r="G56" s="42"/>
      <c r="H56" s="42"/>
      <c r="I56" s="42"/>
    </row>
    <row r="57" customFormat="false" ht="37.5" hidden="false" customHeight="true" outlineLevel="0" collapsed="false">
      <c r="A57" s="36" t="n">
        <v>53</v>
      </c>
      <c r="B57" s="37" t="s">
        <v>721</v>
      </c>
      <c r="C57" s="38" t="s">
        <v>722</v>
      </c>
      <c r="D57" s="39"/>
      <c r="E57" s="39"/>
      <c r="F57" s="38"/>
      <c r="G57" s="38"/>
      <c r="H57" s="38"/>
      <c r="I57" s="38"/>
    </row>
    <row r="58" customFormat="false" ht="37.5" hidden="false" customHeight="true" outlineLevel="0" collapsed="false">
      <c r="A58" s="40" t="n">
        <v>54</v>
      </c>
      <c r="B58" s="41" t="s">
        <v>723</v>
      </c>
      <c r="C58" s="42" t="s">
        <v>724</v>
      </c>
      <c r="D58" s="39"/>
      <c r="E58" s="43"/>
      <c r="F58" s="42"/>
      <c r="G58" s="42"/>
      <c r="H58" s="42"/>
      <c r="I58" s="42"/>
    </row>
    <row r="59" customFormat="false" ht="37.5" hidden="false" customHeight="true" outlineLevel="0" collapsed="false">
      <c r="A59" s="36" t="n">
        <v>55</v>
      </c>
      <c r="B59" s="37" t="s">
        <v>725</v>
      </c>
      <c r="C59" s="38" t="s">
        <v>726</v>
      </c>
      <c r="D59" s="39"/>
      <c r="E59" s="39"/>
      <c r="F59" s="38"/>
      <c r="G59" s="38"/>
      <c r="H59" s="38"/>
      <c r="I59" s="38"/>
    </row>
    <row r="60" customFormat="false" ht="37.5" hidden="false" customHeight="true" outlineLevel="0" collapsed="false">
      <c r="A60" s="40" t="n">
        <v>56</v>
      </c>
      <c r="B60" s="41" t="s">
        <v>727</v>
      </c>
      <c r="C60" s="42" t="s">
        <v>728</v>
      </c>
      <c r="D60" s="39"/>
      <c r="E60" s="43"/>
      <c r="F60" s="42"/>
      <c r="G60" s="42"/>
      <c r="H60" s="42"/>
      <c r="I60" s="42"/>
    </row>
    <row r="61" customFormat="false" ht="37.5" hidden="false" customHeight="true" outlineLevel="0" collapsed="false">
      <c r="A61" s="36" t="n">
        <v>57</v>
      </c>
      <c r="B61" s="37" t="s">
        <v>729</v>
      </c>
      <c r="C61" s="38" t="s">
        <v>730</v>
      </c>
      <c r="D61" s="39"/>
      <c r="E61" s="39"/>
      <c r="F61" s="38"/>
      <c r="G61" s="38"/>
      <c r="H61" s="38"/>
      <c r="I61" s="38"/>
    </row>
    <row r="62" customFormat="false" ht="37.5" hidden="false" customHeight="true" outlineLevel="0" collapsed="false">
      <c r="A62" s="40" t="n">
        <v>58</v>
      </c>
      <c r="B62" s="41" t="s">
        <v>731</v>
      </c>
      <c r="C62" s="42" t="s">
        <v>732</v>
      </c>
      <c r="D62" s="39"/>
      <c r="E62" s="43"/>
      <c r="F62" s="42"/>
      <c r="G62" s="42"/>
      <c r="H62" s="42"/>
      <c r="I62" s="42"/>
    </row>
    <row r="63" customFormat="false" ht="37.5" hidden="false" customHeight="true" outlineLevel="0" collapsed="false">
      <c r="A63" s="36" t="n">
        <v>59</v>
      </c>
      <c r="B63" s="37" t="s">
        <v>733</v>
      </c>
      <c r="C63" s="38" t="s">
        <v>734</v>
      </c>
      <c r="D63" s="39"/>
      <c r="E63" s="39"/>
      <c r="F63" s="38"/>
      <c r="G63" s="38"/>
      <c r="H63" s="38"/>
      <c r="I63" s="38"/>
    </row>
    <row r="64" customFormat="false" ht="37.5" hidden="false" customHeight="true" outlineLevel="0" collapsed="false">
      <c r="A64" s="40" t="n">
        <v>60</v>
      </c>
      <c r="B64" s="41" t="s">
        <v>735</v>
      </c>
      <c r="C64" s="42" t="s">
        <v>736</v>
      </c>
      <c r="D64" s="39"/>
      <c r="E64" s="43"/>
      <c r="F64" s="42"/>
      <c r="G64" s="42"/>
      <c r="H64" s="42"/>
      <c r="I64" s="42"/>
    </row>
    <row r="65" customFormat="false" ht="37.5" hidden="false" customHeight="true" outlineLevel="0" collapsed="false">
      <c r="A65" s="36" t="n">
        <v>61</v>
      </c>
      <c r="B65" s="37" t="s">
        <v>737</v>
      </c>
      <c r="C65" s="38" t="s">
        <v>738</v>
      </c>
      <c r="D65" s="39"/>
      <c r="E65" s="39"/>
      <c r="F65" s="38"/>
      <c r="G65" s="38"/>
      <c r="H65" s="38"/>
      <c r="I65" s="38"/>
    </row>
    <row r="66" customFormat="false" ht="37.5" hidden="false" customHeight="true" outlineLevel="0" collapsed="false">
      <c r="A66" s="40" t="n">
        <v>62</v>
      </c>
      <c r="B66" s="41" t="s">
        <v>739</v>
      </c>
      <c r="C66" s="42" t="s">
        <v>740</v>
      </c>
      <c r="D66" s="39"/>
      <c r="E66" s="43"/>
      <c r="F66" s="42"/>
      <c r="G66" s="42"/>
      <c r="H66" s="42"/>
      <c r="I66" s="42"/>
    </row>
    <row r="67" customFormat="false" ht="37.5" hidden="false" customHeight="true" outlineLevel="0" collapsed="false">
      <c r="A67" s="36" t="n">
        <v>63</v>
      </c>
      <c r="B67" s="37" t="s">
        <v>741</v>
      </c>
      <c r="C67" s="38" t="s">
        <v>742</v>
      </c>
      <c r="D67" s="39"/>
      <c r="E67" s="39"/>
      <c r="F67" s="38"/>
      <c r="G67" s="38"/>
      <c r="H67" s="38"/>
      <c r="I67" s="38"/>
    </row>
    <row r="68" customFormat="false" ht="37.5" hidden="false" customHeight="true" outlineLevel="0" collapsed="false">
      <c r="A68" s="40" t="n">
        <v>64</v>
      </c>
      <c r="B68" s="41" t="s">
        <v>743</v>
      </c>
      <c r="C68" s="42" t="s">
        <v>744</v>
      </c>
      <c r="D68" s="39"/>
      <c r="E68" s="43"/>
      <c r="F68" s="42"/>
      <c r="G68" s="42"/>
      <c r="H68" s="42"/>
      <c r="I68" s="42"/>
    </row>
    <row r="69" customFormat="false" ht="37.5" hidden="false" customHeight="true" outlineLevel="0" collapsed="false">
      <c r="A69" s="36" t="n">
        <v>65</v>
      </c>
      <c r="B69" s="37" t="s">
        <v>745</v>
      </c>
      <c r="C69" s="38" t="s">
        <v>746</v>
      </c>
      <c r="D69" s="39"/>
      <c r="E69" s="39"/>
      <c r="F69" s="38"/>
      <c r="G69" s="38"/>
      <c r="H69" s="38"/>
      <c r="I69" s="38"/>
    </row>
    <row r="70" customFormat="false" ht="37.5" hidden="false" customHeight="true" outlineLevel="0" collapsed="false">
      <c r="A70" s="40" t="n">
        <v>66</v>
      </c>
      <c r="B70" s="41" t="s">
        <v>747</v>
      </c>
      <c r="C70" s="42" t="s">
        <v>748</v>
      </c>
      <c r="D70" s="39"/>
      <c r="E70" s="43"/>
      <c r="F70" s="42"/>
      <c r="G70" s="42"/>
      <c r="H70" s="42"/>
      <c r="I70" s="42"/>
    </row>
    <row r="71" customFormat="false" ht="37.5" hidden="false" customHeight="true" outlineLevel="0" collapsed="false">
      <c r="A71" s="36" t="n">
        <v>67</v>
      </c>
      <c r="B71" s="37" t="s">
        <v>749</v>
      </c>
      <c r="C71" s="38" t="s">
        <v>750</v>
      </c>
      <c r="D71" s="39"/>
      <c r="E71" s="39"/>
      <c r="F71" s="38"/>
      <c r="G71" s="38"/>
      <c r="H71" s="38"/>
      <c r="I71" s="38"/>
    </row>
    <row r="72" customFormat="false" ht="37.5" hidden="false" customHeight="true" outlineLevel="0" collapsed="false">
      <c r="A72" s="40" t="n">
        <v>68</v>
      </c>
      <c r="B72" s="41" t="s">
        <v>751</v>
      </c>
      <c r="C72" s="42" t="s">
        <v>752</v>
      </c>
      <c r="D72" s="39"/>
      <c r="E72" s="43"/>
      <c r="F72" s="42"/>
      <c r="G72" s="42"/>
      <c r="H72" s="42"/>
      <c r="I72" s="42"/>
    </row>
    <row r="73" customFormat="false" ht="37.5" hidden="false" customHeight="true" outlineLevel="0" collapsed="false">
      <c r="A73" s="36" t="n">
        <v>69</v>
      </c>
      <c r="B73" s="37" t="s">
        <v>753</v>
      </c>
      <c r="C73" s="38" t="s">
        <v>754</v>
      </c>
      <c r="D73" s="39"/>
      <c r="E73" s="39"/>
      <c r="F73" s="38"/>
      <c r="G73" s="38"/>
      <c r="H73" s="38"/>
      <c r="I73" s="38"/>
    </row>
    <row r="74" customFormat="false" ht="37.5" hidden="false" customHeight="true" outlineLevel="0" collapsed="false">
      <c r="A74" s="40" t="n">
        <v>70</v>
      </c>
      <c r="B74" s="41" t="s">
        <v>755</v>
      </c>
      <c r="C74" s="42" t="s">
        <v>756</v>
      </c>
      <c r="D74" s="39"/>
      <c r="E74" s="43"/>
      <c r="F74" s="42"/>
      <c r="G74" s="42"/>
      <c r="H74" s="42"/>
      <c r="I74" s="42"/>
    </row>
    <row r="75" customFormat="false" ht="37.5" hidden="false" customHeight="true" outlineLevel="0" collapsed="false">
      <c r="A75" s="36" t="n">
        <v>71</v>
      </c>
      <c r="B75" s="37" t="s">
        <v>757</v>
      </c>
      <c r="C75" s="38" t="s">
        <v>758</v>
      </c>
      <c r="D75" s="39"/>
      <c r="E75" s="39"/>
      <c r="F75" s="38"/>
      <c r="G75" s="38"/>
      <c r="H75" s="38"/>
      <c r="I75" s="38"/>
    </row>
    <row r="76" customFormat="false" ht="37.5" hidden="false" customHeight="true" outlineLevel="0" collapsed="false">
      <c r="A76" s="40" t="n">
        <v>72</v>
      </c>
      <c r="B76" s="41" t="s">
        <v>759</v>
      </c>
      <c r="C76" s="42" t="s">
        <v>760</v>
      </c>
      <c r="D76" s="39"/>
      <c r="E76" s="43"/>
      <c r="F76" s="42"/>
      <c r="G76" s="42"/>
      <c r="H76" s="42"/>
      <c r="I76" s="42"/>
    </row>
    <row r="77" customFormat="false" ht="37.5" hidden="false" customHeight="true" outlineLevel="0" collapsed="false">
      <c r="A77" s="36" t="n">
        <v>73</v>
      </c>
      <c r="B77" s="37" t="s">
        <v>761</v>
      </c>
      <c r="C77" s="38" t="s">
        <v>762</v>
      </c>
      <c r="D77" s="39"/>
      <c r="E77" s="39"/>
      <c r="F77" s="38"/>
      <c r="G77" s="38"/>
      <c r="H77" s="38"/>
      <c r="I77" s="38"/>
    </row>
    <row r="78" customFormat="false" ht="37.5" hidden="false" customHeight="true" outlineLevel="0" collapsed="false">
      <c r="A78" s="40" t="n">
        <v>74</v>
      </c>
      <c r="B78" s="41" t="s">
        <v>763</v>
      </c>
      <c r="C78" s="42" t="s">
        <v>764</v>
      </c>
      <c r="D78" s="39"/>
      <c r="E78" s="43"/>
      <c r="F78" s="42"/>
      <c r="G78" s="42"/>
      <c r="H78" s="42"/>
      <c r="I78" s="42"/>
    </row>
    <row r="79" customFormat="false" ht="37.5" hidden="false" customHeight="true" outlineLevel="0" collapsed="false">
      <c r="A79" s="36" t="n">
        <v>75</v>
      </c>
      <c r="B79" s="37" t="s">
        <v>765</v>
      </c>
      <c r="C79" s="38" t="s">
        <v>766</v>
      </c>
      <c r="D79" s="39"/>
      <c r="E79" s="39"/>
      <c r="F79" s="38"/>
      <c r="G79" s="38"/>
      <c r="H79" s="38"/>
      <c r="I79" s="38"/>
    </row>
    <row r="80" customFormat="false" ht="37.5" hidden="false" customHeight="true" outlineLevel="0" collapsed="false">
      <c r="A80" s="40" t="n">
        <v>76</v>
      </c>
      <c r="B80" s="41" t="s">
        <v>767</v>
      </c>
      <c r="C80" s="42" t="s">
        <v>768</v>
      </c>
      <c r="D80" s="39"/>
      <c r="E80" s="43"/>
      <c r="F80" s="42"/>
      <c r="G80" s="42"/>
      <c r="H80" s="42"/>
      <c r="I80" s="42"/>
    </row>
    <row r="81" customFormat="false" ht="37.5" hidden="false" customHeight="true" outlineLevel="0" collapsed="false">
      <c r="A81" s="36" t="n">
        <v>77</v>
      </c>
      <c r="B81" s="37" t="s">
        <v>769</v>
      </c>
      <c r="C81" s="38" t="s">
        <v>770</v>
      </c>
      <c r="D81" s="39"/>
      <c r="E81" s="39"/>
      <c r="F81" s="38"/>
      <c r="G81" s="38"/>
      <c r="H81" s="38"/>
      <c r="I81" s="38"/>
    </row>
    <row r="82" customFormat="false" ht="37.5" hidden="false" customHeight="true" outlineLevel="0" collapsed="false">
      <c r="A82" s="40" t="n">
        <v>78</v>
      </c>
      <c r="B82" s="41" t="s">
        <v>771</v>
      </c>
      <c r="C82" s="42" t="s">
        <v>772</v>
      </c>
      <c r="D82" s="39"/>
      <c r="E82" s="43"/>
      <c r="F82" s="42"/>
      <c r="G82" s="42"/>
      <c r="H82" s="42"/>
      <c r="I82" s="42"/>
    </row>
    <row r="83" customFormat="false" ht="37.5" hidden="false" customHeight="true" outlineLevel="0" collapsed="false">
      <c r="A83" s="36" t="n">
        <v>79</v>
      </c>
      <c r="B83" s="37" t="s">
        <v>773</v>
      </c>
      <c r="C83" s="38" t="s">
        <v>774</v>
      </c>
      <c r="D83" s="39"/>
      <c r="E83" s="39"/>
      <c r="F83" s="38"/>
      <c r="G83" s="38"/>
      <c r="H83" s="38"/>
      <c r="I83" s="38"/>
    </row>
    <row r="84" customFormat="false" ht="37.5" hidden="false" customHeight="true" outlineLevel="0" collapsed="false">
      <c r="A84" s="40" t="n">
        <v>80</v>
      </c>
      <c r="B84" s="41" t="s">
        <v>775</v>
      </c>
      <c r="C84" s="42" t="s">
        <v>776</v>
      </c>
      <c r="D84" s="39"/>
      <c r="E84" s="43"/>
      <c r="F84" s="42"/>
      <c r="G84" s="42"/>
      <c r="H84" s="42"/>
      <c r="I84" s="42"/>
    </row>
    <row r="85" customFormat="false" ht="37.5" hidden="false" customHeight="true" outlineLevel="0" collapsed="false">
      <c r="A85" s="36" t="n">
        <v>81</v>
      </c>
      <c r="B85" s="37" t="s">
        <v>777</v>
      </c>
      <c r="C85" s="38" t="s">
        <v>778</v>
      </c>
      <c r="D85" s="39"/>
      <c r="E85" s="39"/>
      <c r="F85" s="38"/>
      <c r="G85" s="38"/>
      <c r="H85" s="38"/>
      <c r="I85" s="38"/>
    </row>
    <row r="86" customFormat="false" ht="37.5" hidden="false" customHeight="true" outlineLevel="0" collapsed="false">
      <c r="A86" s="40" t="n">
        <v>82</v>
      </c>
      <c r="B86" s="41" t="s">
        <v>779</v>
      </c>
      <c r="C86" s="42" t="s">
        <v>780</v>
      </c>
      <c r="D86" s="39"/>
      <c r="E86" s="43"/>
      <c r="F86" s="42"/>
      <c r="G86" s="42"/>
      <c r="H86" s="42"/>
      <c r="I86" s="42"/>
    </row>
    <row r="87" customFormat="false" ht="37.5" hidden="false" customHeight="true" outlineLevel="0" collapsed="false">
      <c r="A87" s="36" t="n">
        <v>83</v>
      </c>
      <c r="B87" s="37" t="s">
        <v>781</v>
      </c>
      <c r="C87" s="38" t="s">
        <v>782</v>
      </c>
      <c r="D87" s="39"/>
      <c r="E87" s="39"/>
      <c r="F87" s="38"/>
      <c r="G87" s="38"/>
      <c r="H87" s="38"/>
      <c r="I87" s="38"/>
    </row>
    <row r="88" customFormat="false" ht="37.5" hidden="false" customHeight="true" outlineLevel="0" collapsed="false">
      <c r="A88" s="40" t="n">
        <v>84</v>
      </c>
      <c r="B88" s="41" t="s">
        <v>783</v>
      </c>
      <c r="C88" s="42" t="s">
        <v>784</v>
      </c>
      <c r="D88" s="39"/>
      <c r="E88" s="43"/>
      <c r="F88" s="42"/>
      <c r="G88" s="42"/>
      <c r="H88" s="42"/>
      <c r="I88" s="42"/>
    </row>
    <row r="89" customFormat="false" ht="37.5" hidden="false" customHeight="true" outlineLevel="0" collapsed="false">
      <c r="A89" s="36" t="n">
        <v>85</v>
      </c>
      <c r="B89" s="37" t="s">
        <v>785</v>
      </c>
      <c r="C89" s="38" t="s">
        <v>786</v>
      </c>
      <c r="D89" s="39"/>
      <c r="E89" s="39"/>
      <c r="F89" s="38"/>
      <c r="G89" s="38"/>
      <c r="H89" s="38"/>
      <c r="I89" s="38"/>
    </row>
    <row r="90" customFormat="false" ht="37.5" hidden="false" customHeight="true" outlineLevel="0" collapsed="false">
      <c r="A90" s="40" t="n">
        <v>86</v>
      </c>
      <c r="B90" s="41" t="s">
        <v>787</v>
      </c>
      <c r="C90" s="42" t="s">
        <v>788</v>
      </c>
      <c r="D90" s="39"/>
      <c r="E90" s="43"/>
      <c r="F90" s="42"/>
      <c r="G90" s="42"/>
      <c r="H90" s="42"/>
      <c r="I90" s="42"/>
    </row>
    <row r="91" customFormat="false" ht="37.5" hidden="false" customHeight="true" outlineLevel="0" collapsed="false">
      <c r="A91" s="36" t="n">
        <v>87</v>
      </c>
      <c r="B91" s="37" t="s">
        <v>789</v>
      </c>
      <c r="C91" s="38" t="s">
        <v>790</v>
      </c>
      <c r="D91" s="39"/>
      <c r="E91" s="39"/>
      <c r="F91" s="38"/>
      <c r="G91" s="38"/>
      <c r="H91" s="38"/>
      <c r="I91" s="38"/>
    </row>
    <row r="92" customFormat="false" ht="37.5" hidden="false" customHeight="true" outlineLevel="0" collapsed="false">
      <c r="A92" s="40" t="n">
        <v>88</v>
      </c>
      <c r="B92" s="41" t="s">
        <v>791</v>
      </c>
      <c r="C92" s="42" t="s">
        <v>792</v>
      </c>
      <c r="D92" s="39"/>
      <c r="E92" s="43"/>
      <c r="F92" s="42"/>
      <c r="G92" s="42"/>
      <c r="H92" s="42"/>
      <c r="I92" s="42"/>
    </row>
    <row r="93" customFormat="false" ht="37.5" hidden="false" customHeight="true" outlineLevel="0" collapsed="false">
      <c r="A93" s="36" t="n">
        <v>89</v>
      </c>
      <c r="B93" s="37" t="s">
        <v>793</v>
      </c>
      <c r="C93" s="38" t="s">
        <v>794</v>
      </c>
      <c r="D93" s="39"/>
      <c r="E93" s="39"/>
      <c r="F93" s="38"/>
      <c r="G93" s="38"/>
      <c r="H93" s="38"/>
      <c r="I93" s="38"/>
    </row>
    <row r="94" customFormat="false" ht="37.5" hidden="false" customHeight="true" outlineLevel="0" collapsed="false">
      <c r="A94" s="40" t="n">
        <v>90</v>
      </c>
      <c r="B94" s="41" t="s">
        <v>795</v>
      </c>
      <c r="C94" s="42" t="s">
        <v>796</v>
      </c>
      <c r="D94" s="39"/>
      <c r="E94" s="43"/>
      <c r="F94" s="42"/>
      <c r="G94" s="42"/>
      <c r="H94" s="42"/>
      <c r="I94" s="42"/>
    </row>
    <row r="95" customFormat="false" ht="37.5" hidden="false" customHeight="true" outlineLevel="0" collapsed="false">
      <c r="A95" s="36" t="n">
        <v>91</v>
      </c>
      <c r="B95" s="37" t="s">
        <v>797</v>
      </c>
      <c r="C95" s="38" t="s">
        <v>798</v>
      </c>
      <c r="D95" s="39"/>
      <c r="E95" s="39"/>
      <c r="F95" s="38"/>
      <c r="G95" s="38"/>
      <c r="H95" s="38"/>
      <c r="I95" s="38"/>
    </row>
    <row r="96" customFormat="false" ht="37.5" hidden="false" customHeight="true" outlineLevel="0" collapsed="false">
      <c r="A96" s="40" t="n">
        <v>92</v>
      </c>
      <c r="B96" s="41" t="s">
        <v>799</v>
      </c>
      <c r="C96" s="42" t="s">
        <v>800</v>
      </c>
      <c r="D96" s="39"/>
      <c r="E96" s="43"/>
      <c r="F96" s="42"/>
      <c r="G96" s="42"/>
      <c r="H96" s="42"/>
      <c r="I96" s="42"/>
    </row>
    <row r="97" customFormat="false" ht="37.5" hidden="false" customHeight="true" outlineLevel="0" collapsed="false">
      <c r="A97" s="36" t="n">
        <v>93</v>
      </c>
      <c r="B97" s="37" t="s">
        <v>801</v>
      </c>
      <c r="C97" s="38" t="s">
        <v>802</v>
      </c>
      <c r="D97" s="39"/>
      <c r="E97" s="39"/>
      <c r="F97" s="38"/>
      <c r="G97" s="38"/>
      <c r="H97" s="38"/>
      <c r="I97" s="38"/>
    </row>
    <row r="98" customFormat="false" ht="37.5" hidden="false" customHeight="true" outlineLevel="0" collapsed="false">
      <c r="A98" s="40" t="n">
        <v>94</v>
      </c>
      <c r="B98" s="41" t="s">
        <v>803</v>
      </c>
      <c r="C98" s="42" t="s">
        <v>804</v>
      </c>
      <c r="D98" s="39"/>
      <c r="E98" s="43"/>
      <c r="F98" s="42"/>
      <c r="G98" s="42"/>
      <c r="H98" s="42"/>
      <c r="I98" s="42"/>
    </row>
    <row r="99" customFormat="false" ht="37.5" hidden="false" customHeight="true" outlineLevel="0" collapsed="false">
      <c r="A99" s="36" t="n">
        <v>95</v>
      </c>
      <c r="B99" s="37" t="s">
        <v>805</v>
      </c>
      <c r="C99" s="38" t="s">
        <v>806</v>
      </c>
      <c r="D99" s="39"/>
      <c r="E99" s="39"/>
      <c r="F99" s="38"/>
      <c r="G99" s="38"/>
      <c r="H99" s="38"/>
      <c r="I99" s="38"/>
    </row>
    <row r="100" customFormat="false" ht="37.5" hidden="false" customHeight="true" outlineLevel="0" collapsed="false">
      <c r="A100" s="40" t="n">
        <v>96</v>
      </c>
      <c r="B100" s="41" t="s">
        <v>807</v>
      </c>
      <c r="C100" s="42" t="s">
        <v>808</v>
      </c>
      <c r="D100" s="39"/>
      <c r="E100" s="43"/>
      <c r="F100" s="42"/>
      <c r="G100" s="42"/>
      <c r="H100" s="42"/>
      <c r="I100" s="42"/>
    </row>
    <row r="101" customFormat="false" ht="37.5" hidden="false" customHeight="true" outlineLevel="0" collapsed="false">
      <c r="A101" s="36" t="n">
        <v>97</v>
      </c>
      <c r="B101" s="37" t="s">
        <v>809</v>
      </c>
      <c r="C101" s="38" t="s">
        <v>810</v>
      </c>
      <c r="D101" s="39"/>
      <c r="E101" s="39"/>
      <c r="F101" s="38"/>
      <c r="G101" s="38"/>
      <c r="H101" s="38"/>
      <c r="I101" s="38"/>
    </row>
    <row r="102" customFormat="false" ht="37.5" hidden="false" customHeight="true" outlineLevel="0" collapsed="false">
      <c r="A102" s="40" t="n">
        <v>98</v>
      </c>
      <c r="B102" s="41" t="s">
        <v>811</v>
      </c>
      <c r="C102" s="42" t="s">
        <v>812</v>
      </c>
      <c r="D102" s="39"/>
      <c r="E102" s="43"/>
      <c r="F102" s="42"/>
      <c r="G102" s="42"/>
      <c r="H102" s="42"/>
      <c r="I102" s="42"/>
    </row>
    <row r="103" customFormat="false" ht="37.5" hidden="false" customHeight="true" outlineLevel="0" collapsed="false">
      <c r="A103" s="36" t="n">
        <v>99</v>
      </c>
      <c r="B103" s="37" t="s">
        <v>813</v>
      </c>
      <c r="C103" s="38" t="s">
        <v>814</v>
      </c>
      <c r="D103" s="39"/>
      <c r="E103" s="39"/>
      <c r="F103" s="38"/>
      <c r="G103" s="38"/>
      <c r="H103" s="38"/>
      <c r="I103" s="38"/>
    </row>
    <row r="104" customFormat="false" ht="37.5" hidden="false" customHeight="true" outlineLevel="0" collapsed="false">
      <c r="A104" s="40" t="n">
        <v>100</v>
      </c>
      <c r="B104" s="41" t="s">
        <v>815</v>
      </c>
      <c r="C104" s="42" t="s">
        <v>816</v>
      </c>
      <c r="D104" s="39"/>
      <c r="E104" s="43"/>
      <c r="F104" s="42"/>
      <c r="G104" s="42"/>
      <c r="H104" s="42"/>
      <c r="I104" s="42"/>
    </row>
    <row r="105" customFormat="false" ht="37.5" hidden="false" customHeight="true" outlineLevel="0" collapsed="false">
      <c r="A105" s="36" t="n">
        <v>101</v>
      </c>
      <c r="B105" s="37" t="s">
        <v>817</v>
      </c>
      <c r="C105" s="38" t="s">
        <v>818</v>
      </c>
      <c r="D105" s="39"/>
      <c r="E105" s="39"/>
      <c r="F105" s="38"/>
      <c r="G105" s="38"/>
      <c r="H105" s="38"/>
      <c r="I105" s="38"/>
    </row>
    <row r="106" customFormat="false" ht="37.5" hidden="false" customHeight="true" outlineLevel="0" collapsed="false">
      <c r="A106" s="40" t="n">
        <v>102</v>
      </c>
      <c r="B106" s="41" t="s">
        <v>819</v>
      </c>
      <c r="C106" s="42" t="s">
        <v>820</v>
      </c>
      <c r="D106" s="39"/>
      <c r="E106" s="43"/>
      <c r="F106" s="42"/>
      <c r="G106" s="42"/>
      <c r="H106" s="42"/>
      <c r="I106" s="42"/>
    </row>
    <row r="107" customFormat="false" ht="37.5" hidden="false" customHeight="true" outlineLevel="0" collapsed="false">
      <c r="A107" s="36" t="n">
        <v>103</v>
      </c>
      <c r="B107" s="37" t="s">
        <v>821</v>
      </c>
      <c r="C107" s="38" t="s">
        <v>822</v>
      </c>
      <c r="D107" s="39"/>
      <c r="E107" s="39"/>
      <c r="F107" s="38"/>
      <c r="G107" s="38"/>
      <c r="H107" s="38"/>
      <c r="I107" s="38"/>
    </row>
  </sheetData>
  <autoFilter ref="A4:I107"/>
  <mergeCells count="2">
    <mergeCell ref="A1:I1"/>
    <mergeCell ref="A2:I2"/>
  </mergeCells>
  <conditionalFormatting sqref="D5:D107">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823</v>
      </c>
      <c r="B1" s="35"/>
      <c r="C1" s="35"/>
      <c r="D1" s="35"/>
      <c r="E1" s="35"/>
      <c r="F1" s="35"/>
      <c r="G1" s="35"/>
      <c r="H1" s="35"/>
      <c r="I1" s="35"/>
    </row>
    <row r="2" customFormat="false" ht="19.5" hidden="false" customHeight="true" outlineLevel="0" collapsed="false">
      <c r="A2" s="18" t="s">
        <v>824</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825</v>
      </c>
      <c r="C5" s="38" t="s">
        <v>826</v>
      </c>
      <c r="D5" s="39"/>
      <c r="E5" s="39"/>
      <c r="F5" s="38"/>
      <c r="G5" s="38"/>
      <c r="H5" s="38"/>
      <c r="I5" s="38"/>
    </row>
    <row r="6" customFormat="false" ht="37.5" hidden="false" customHeight="true" outlineLevel="0" collapsed="false">
      <c r="A6" s="40" t="n">
        <v>2</v>
      </c>
      <c r="B6" s="41" t="s">
        <v>827</v>
      </c>
      <c r="C6" s="42" t="s">
        <v>828</v>
      </c>
      <c r="D6" s="39"/>
      <c r="E6" s="43"/>
      <c r="F6" s="42"/>
      <c r="G6" s="42"/>
      <c r="H6" s="42"/>
      <c r="I6" s="42"/>
    </row>
    <row r="7" customFormat="false" ht="37.5" hidden="false" customHeight="true" outlineLevel="0" collapsed="false">
      <c r="A7" s="36" t="n">
        <v>3</v>
      </c>
      <c r="B7" s="37" t="s">
        <v>829</v>
      </c>
      <c r="C7" s="38" t="s">
        <v>830</v>
      </c>
      <c r="D7" s="39"/>
      <c r="E7" s="39"/>
      <c r="F7" s="38"/>
      <c r="G7" s="38"/>
      <c r="H7" s="38"/>
      <c r="I7" s="38"/>
    </row>
    <row r="8" customFormat="false" ht="37.5" hidden="false" customHeight="true" outlineLevel="0" collapsed="false">
      <c r="A8" s="40" t="n">
        <v>4</v>
      </c>
      <c r="B8" s="41" t="s">
        <v>831</v>
      </c>
      <c r="C8" s="42" t="s">
        <v>832</v>
      </c>
      <c r="D8" s="39"/>
      <c r="E8" s="43"/>
      <c r="F8" s="42"/>
      <c r="G8" s="42"/>
      <c r="H8" s="42"/>
      <c r="I8" s="42"/>
    </row>
    <row r="9" customFormat="false" ht="37.5" hidden="false" customHeight="true" outlineLevel="0" collapsed="false">
      <c r="A9" s="36" t="n">
        <v>5</v>
      </c>
      <c r="B9" s="37" t="s">
        <v>833</v>
      </c>
      <c r="C9" s="38" t="s">
        <v>834</v>
      </c>
      <c r="D9" s="39"/>
      <c r="E9" s="39"/>
      <c r="F9" s="38"/>
      <c r="G9" s="38"/>
      <c r="H9" s="38"/>
      <c r="I9" s="38"/>
    </row>
    <row r="10" customFormat="false" ht="37.5" hidden="false" customHeight="true" outlineLevel="0" collapsed="false">
      <c r="A10" s="40" t="n">
        <v>6</v>
      </c>
      <c r="B10" s="41" t="s">
        <v>835</v>
      </c>
      <c r="C10" s="42" t="s">
        <v>836</v>
      </c>
      <c r="D10" s="39"/>
      <c r="E10" s="43"/>
      <c r="F10" s="42"/>
      <c r="G10" s="42"/>
      <c r="H10" s="42"/>
      <c r="I10" s="42"/>
    </row>
    <row r="11" customFormat="false" ht="37.5" hidden="false" customHeight="true" outlineLevel="0" collapsed="false">
      <c r="A11" s="36" t="n">
        <v>7</v>
      </c>
      <c r="B11" s="37" t="s">
        <v>837</v>
      </c>
      <c r="C11" s="38" t="s">
        <v>838</v>
      </c>
      <c r="D11" s="39"/>
      <c r="E11" s="39"/>
      <c r="F11" s="38"/>
      <c r="G11" s="38"/>
      <c r="H11" s="38"/>
      <c r="I11" s="38"/>
    </row>
    <row r="12" customFormat="false" ht="37.5" hidden="false" customHeight="true" outlineLevel="0" collapsed="false">
      <c r="A12" s="40" t="n">
        <v>8</v>
      </c>
      <c r="B12" s="41" t="s">
        <v>839</v>
      </c>
      <c r="C12" s="42" t="s">
        <v>840</v>
      </c>
      <c r="D12" s="39"/>
      <c r="E12" s="43"/>
      <c r="F12" s="42"/>
      <c r="G12" s="42"/>
      <c r="H12" s="42"/>
      <c r="I12" s="42"/>
    </row>
    <row r="13" customFormat="false" ht="37.5" hidden="false" customHeight="true" outlineLevel="0" collapsed="false">
      <c r="A13" s="36" t="n">
        <v>9</v>
      </c>
      <c r="B13" s="37" t="s">
        <v>841</v>
      </c>
      <c r="C13" s="38" t="s">
        <v>842</v>
      </c>
      <c r="D13" s="39"/>
      <c r="E13" s="39"/>
      <c r="F13" s="38"/>
      <c r="G13" s="38"/>
      <c r="H13" s="38"/>
      <c r="I13" s="38"/>
    </row>
    <row r="14" customFormat="false" ht="37.5" hidden="false" customHeight="true" outlineLevel="0" collapsed="false">
      <c r="A14" s="40" t="n">
        <v>10</v>
      </c>
      <c r="B14" s="41" t="s">
        <v>843</v>
      </c>
      <c r="C14" s="42" t="s">
        <v>844</v>
      </c>
      <c r="D14" s="39"/>
      <c r="E14" s="43"/>
      <c r="F14" s="42"/>
      <c r="G14" s="42"/>
      <c r="H14" s="42"/>
      <c r="I14" s="42"/>
    </row>
    <row r="15" customFormat="false" ht="37.5" hidden="false" customHeight="true" outlineLevel="0" collapsed="false">
      <c r="A15" s="36" t="n">
        <v>11</v>
      </c>
      <c r="B15" s="37" t="s">
        <v>845</v>
      </c>
      <c r="C15" s="38" t="s">
        <v>846</v>
      </c>
      <c r="D15" s="39"/>
      <c r="E15" s="39"/>
      <c r="F15" s="38"/>
      <c r="G15" s="38"/>
      <c r="H15" s="38"/>
      <c r="I15" s="38"/>
    </row>
    <row r="16" customFormat="false" ht="37.5" hidden="false" customHeight="true" outlineLevel="0" collapsed="false">
      <c r="A16" s="40" t="n">
        <v>12</v>
      </c>
      <c r="B16" s="41" t="s">
        <v>847</v>
      </c>
      <c r="C16" s="42" t="s">
        <v>848</v>
      </c>
      <c r="D16" s="39"/>
      <c r="E16" s="43"/>
      <c r="F16" s="42"/>
      <c r="G16" s="42"/>
      <c r="H16" s="42"/>
      <c r="I16" s="42"/>
    </row>
    <row r="17" customFormat="false" ht="37.5" hidden="false" customHeight="true" outlineLevel="0" collapsed="false">
      <c r="A17" s="36" t="n">
        <v>13</v>
      </c>
      <c r="B17" s="37" t="s">
        <v>849</v>
      </c>
      <c r="C17" s="38" t="s">
        <v>850</v>
      </c>
      <c r="D17" s="39"/>
      <c r="E17" s="39"/>
      <c r="F17" s="38"/>
      <c r="G17" s="38"/>
      <c r="H17" s="38"/>
      <c r="I17" s="38"/>
    </row>
    <row r="18" customFormat="false" ht="37.5" hidden="false" customHeight="true" outlineLevel="0" collapsed="false">
      <c r="A18" s="40" t="n">
        <v>14</v>
      </c>
      <c r="B18" s="41" t="s">
        <v>851</v>
      </c>
      <c r="C18" s="42" t="s">
        <v>852</v>
      </c>
      <c r="D18" s="39"/>
      <c r="E18" s="43"/>
      <c r="F18" s="42"/>
      <c r="G18" s="42"/>
      <c r="H18" s="42"/>
      <c r="I18" s="42"/>
    </row>
    <row r="19" customFormat="false" ht="37.5" hidden="false" customHeight="true" outlineLevel="0" collapsed="false">
      <c r="A19" s="36" t="n">
        <v>15</v>
      </c>
      <c r="B19" s="37" t="s">
        <v>853</v>
      </c>
      <c r="C19" s="38" t="s">
        <v>854</v>
      </c>
      <c r="D19" s="39"/>
      <c r="E19" s="39"/>
      <c r="F19" s="38"/>
      <c r="G19" s="38"/>
      <c r="H19" s="38"/>
      <c r="I19" s="38"/>
    </row>
    <row r="20" customFormat="false" ht="37.5" hidden="false" customHeight="true" outlineLevel="0" collapsed="false">
      <c r="A20" s="40" t="n">
        <v>16</v>
      </c>
      <c r="B20" s="41" t="s">
        <v>855</v>
      </c>
      <c r="C20" s="42" t="s">
        <v>856</v>
      </c>
      <c r="D20" s="39"/>
      <c r="E20" s="43"/>
      <c r="F20" s="42"/>
      <c r="G20" s="42"/>
      <c r="H20" s="42"/>
      <c r="I20" s="42"/>
    </row>
    <row r="21" customFormat="false" ht="37.5" hidden="false" customHeight="true" outlineLevel="0" collapsed="false">
      <c r="A21" s="36" t="n">
        <v>17</v>
      </c>
      <c r="B21" s="37" t="s">
        <v>857</v>
      </c>
      <c r="C21" s="38" t="s">
        <v>858</v>
      </c>
      <c r="D21" s="39"/>
      <c r="E21" s="39"/>
      <c r="F21" s="38"/>
      <c r="G21" s="38"/>
      <c r="H21" s="38"/>
      <c r="I21" s="38"/>
    </row>
    <row r="22" customFormat="false" ht="37.5" hidden="false" customHeight="true" outlineLevel="0" collapsed="false">
      <c r="A22" s="40" t="n">
        <v>18</v>
      </c>
      <c r="B22" s="41" t="s">
        <v>859</v>
      </c>
      <c r="C22" s="42" t="s">
        <v>860</v>
      </c>
      <c r="D22" s="39"/>
      <c r="E22" s="43"/>
      <c r="F22" s="42"/>
      <c r="G22" s="42"/>
      <c r="H22" s="42"/>
      <c r="I22" s="42"/>
    </row>
    <row r="23" customFormat="false" ht="37.5" hidden="false" customHeight="true" outlineLevel="0" collapsed="false">
      <c r="A23" s="36" t="n">
        <v>19</v>
      </c>
      <c r="B23" s="37" t="s">
        <v>861</v>
      </c>
      <c r="C23" s="38" t="s">
        <v>862</v>
      </c>
      <c r="D23" s="39"/>
      <c r="E23" s="39"/>
      <c r="F23" s="38"/>
      <c r="G23" s="38"/>
      <c r="H23" s="38"/>
      <c r="I23" s="38"/>
    </row>
    <row r="24" customFormat="false" ht="37.5" hidden="false" customHeight="true" outlineLevel="0" collapsed="false">
      <c r="A24" s="40" t="n">
        <v>20</v>
      </c>
      <c r="B24" s="41" t="s">
        <v>863</v>
      </c>
      <c r="C24" s="42" t="s">
        <v>864</v>
      </c>
      <c r="D24" s="39"/>
      <c r="E24" s="43"/>
      <c r="F24" s="42"/>
      <c r="G24" s="42"/>
      <c r="H24" s="42"/>
      <c r="I24" s="42"/>
    </row>
    <row r="25" customFormat="false" ht="37.5" hidden="false" customHeight="true" outlineLevel="0" collapsed="false">
      <c r="A25" s="36" t="n">
        <v>21</v>
      </c>
      <c r="B25" s="37" t="s">
        <v>865</v>
      </c>
      <c r="C25" s="38" t="s">
        <v>866</v>
      </c>
      <c r="D25" s="39"/>
      <c r="E25" s="39"/>
      <c r="F25" s="38"/>
      <c r="G25" s="38"/>
      <c r="H25" s="38"/>
      <c r="I25" s="38"/>
    </row>
    <row r="26" customFormat="false" ht="37.5" hidden="false" customHeight="true" outlineLevel="0" collapsed="false">
      <c r="A26" s="40" t="n">
        <v>22</v>
      </c>
      <c r="B26" s="41" t="s">
        <v>867</v>
      </c>
      <c r="C26" s="42" t="s">
        <v>868</v>
      </c>
      <c r="D26" s="39"/>
      <c r="E26" s="43"/>
      <c r="F26" s="42"/>
      <c r="G26" s="42"/>
      <c r="H26" s="42"/>
      <c r="I26" s="42"/>
    </row>
    <row r="27" customFormat="false" ht="37.5" hidden="false" customHeight="true" outlineLevel="0" collapsed="false">
      <c r="A27" s="36" t="n">
        <v>23</v>
      </c>
      <c r="B27" s="37" t="s">
        <v>869</v>
      </c>
      <c r="C27" s="38" t="s">
        <v>870</v>
      </c>
      <c r="D27" s="39"/>
      <c r="E27" s="39"/>
      <c r="F27" s="38"/>
      <c r="G27" s="38"/>
      <c r="H27" s="38"/>
      <c r="I27" s="38"/>
    </row>
    <row r="28" customFormat="false" ht="37.5" hidden="false" customHeight="true" outlineLevel="0" collapsed="false">
      <c r="A28" s="40" t="n">
        <v>24</v>
      </c>
      <c r="B28" s="41" t="s">
        <v>871</v>
      </c>
      <c r="C28" s="42" t="s">
        <v>872</v>
      </c>
      <c r="D28" s="39"/>
      <c r="E28" s="43"/>
      <c r="F28" s="42"/>
      <c r="G28" s="42"/>
      <c r="H28" s="42"/>
      <c r="I28" s="42"/>
    </row>
    <row r="29" customFormat="false" ht="37.5" hidden="false" customHeight="true" outlineLevel="0" collapsed="false">
      <c r="A29" s="36" t="n">
        <v>25</v>
      </c>
      <c r="B29" s="37" t="s">
        <v>873</v>
      </c>
      <c r="C29" s="38" t="s">
        <v>874</v>
      </c>
      <c r="D29" s="39"/>
      <c r="E29" s="39"/>
      <c r="F29" s="38"/>
      <c r="G29" s="38"/>
      <c r="H29" s="38"/>
      <c r="I29" s="38"/>
    </row>
    <row r="30" customFormat="false" ht="37.5" hidden="false" customHeight="true" outlineLevel="0" collapsed="false">
      <c r="A30" s="40" t="n">
        <v>26</v>
      </c>
      <c r="B30" s="41" t="s">
        <v>875</v>
      </c>
      <c r="C30" s="42" t="s">
        <v>876</v>
      </c>
      <c r="D30" s="39"/>
      <c r="E30" s="43"/>
      <c r="F30" s="42"/>
      <c r="G30" s="42"/>
      <c r="H30" s="42"/>
      <c r="I30" s="42"/>
    </row>
    <row r="31" customFormat="false" ht="37.5" hidden="false" customHeight="true" outlineLevel="0" collapsed="false">
      <c r="A31" s="36" t="n">
        <v>27</v>
      </c>
      <c r="B31" s="37" t="s">
        <v>877</v>
      </c>
      <c r="C31" s="38" t="s">
        <v>878</v>
      </c>
      <c r="D31" s="39"/>
      <c r="E31" s="39"/>
      <c r="F31" s="38"/>
      <c r="G31" s="38"/>
      <c r="H31" s="38"/>
      <c r="I31" s="38"/>
    </row>
    <row r="32" customFormat="false" ht="37.5" hidden="false" customHeight="true" outlineLevel="0" collapsed="false">
      <c r="A32" s="40" t="n">
        <v>28</v>
      </c>
      <c r="B32" s="41" t="s">
        <v>879</v>
      </c>
      <c r="C32" s="42" t="s">
        <v>880</v>
      </c>
      <c r="D32" s="39"/>
      <c r="E32" s="43"/>
      <c r="F32" s="42"/>
      <c r="G32" s="42"/>
      <c r="H32" s="42"/>
      <c r="I32" s="42"/>
    </row>
    <row r="33" customFormat="false" ht="37.5" hidden="false" customHeight="true" outlineLevel="0" collapsed="false">
      <c r="A33" s="36" t="n">
        <v>29</v>
      </c>
      <c r="B33" s="37" t="s">
        <v>881</v>
      </c>
      <c r="C33" s="38" t="s">
        <v>882</v>
      </c>
      <c r="D33" s="39"/>
      <c r="E33" s="39"/>
      <c r="F33" s="38"/>
      <c r="G33" s="38"/>
      <c r="H33" s="38"/>
      <c r="I33" s="38"/>
    </row>
    <row r="34" customFormat="false" ht="37.5" hidden="false" customHeight="true" outlineLevel="0" collapsed="false">
      <c r="A34" s="40" t="n">
        <v>30</v>
      </c>
      <c r="B34" s="41" t="s">
        <v>883</v>
      </c>
      <c r="C34" s="42" t="s">
        <v>884</v>
      </c>
      <c r="D34" s="39"/>
      <c r="E34" s="43"/>
      <c r="F34" s="42"/>
      <c r="G34" s="42"/>
      <c r="H34" s="42"/>
      <c r="I34" s="42"/>
    </row>
    <row r="35" customFormat="false" ht="37.5" hidden="false" customHeight="true" outlineLevel="0" collapsed="false">
      <c r="A35" s="36" t="n">
        <v>31</v>
      </c>
      <c r="B35" s="37" t="s">
        <v>885</v>
      </c>
      <c r="C35" s="38" t="s">
        <v>886</v>
      </c>
      <c r="D35" s="39"/>
      <c r="E35" s="39"/>
      <c r="F35" s="38"/>
      <c r="G35" s="38"/>
      <c r="H35" s="38"/>
      <c r="I35" s="38"/>
    </row>
    <row r="36" customFormat="false" ht="37.5" hidden="false" customHeight="true" outlineLevel="0" collapsed="false">
      <c r="A36" s="40" t="n">
        <v>32</v>
      </c>
      <c r="B36" s="41" t="s">
        <v>887</v>
      </c>
      <c r="C36" s="42" t="s">
        <v>888</v>
      </c>
      <c r="D36" s="39"/>
      <c r="E36" s="43"/>
      <c r="F36" s="42"/>
      <c r="G36" s="42"/>
      <c r="H36" s="42"/>
      <c r="I36" s="42"/>
    </row>
    <row r="37" customFormat="false" ht="37.5" hidden="false" customHeight="true" outlineLevel="0" collapsed="false">
      <c r="A37" s="36" t="n">
        <v>33</v>
      </c>
      <c r="B37" s="37" t="s">
        <v>889</v>
      </c>
      <c r="C37" s="38" t="s">
        <v>890</v>
      </c>
      <c r="D37" s="39"/>
      <c r="E37" s="39"/>
      <c r="F37" s="38"/>
      <c r="G37" s="38"/>
      <c r="H37" s="38"/>
      <c r="I37" s="38"/>
    </row>
    <row r="38" customFormat="false" ht="37.5" hidden="false" customHeight="true" outlineLevel="0" collapsed="false">
      <c r="A38" s="40" t="n">
        <v>34</v>
      </c>
      <c r="B38" s="41" t="s">
        <v>891</v>
      </c>
      <c r="C38" s="42" t="s">
        <v>892</v>
      </c>
      <c r="D38" s="39"/>
      <c r="E38" s="43"/>
      <c r="F38" s="42"/>
      <c r="G38" s="42"/>
      <c r="H38" s="42"/>
      <c r="I38" s="42"/>
    </row>
    <row r="39" customFormat="false" ht="37.5" hidden="false" customHeight="true" outlineLevel="0" collapsed="false">
      <c r="A39" s="36" t="n">
        <v>35</v>
      </c>
      <c r="B39" s="37" t="s">
        <v>893</v>
      </c>
      <c r="C39" s="38" t="s">
        <v>894</v>
      </c>
      <c r="D39" s="39"/>
      <c r="E39" s="39"/>
      <c r="F39" s="38"/>
      <c r="G39" s="38"/>
      <c r="H39" s="38"/>
      <c r="I39" s="38"/>
    </row>
    <row r="40" customFormat="false" ht="37.5" hidden="false" customHeight="true" outlineLevel="0" collapsed="false">
      <c r="A40" s="40" t="n">
        <v>36</v>
      </c>
      <c r="B40" s="41" t="s">
        <v>895</v>
      </c>
      <c r="C40" s="42" t="s">
        <v>896</v>
      </c>
      <c r="D40" s="39"/>
      <c r="E40" s="43"/>
      <c r="F40" s="42"/>
      <c r="G40" s="42"/>
      <c r="H40" s="42"/>
      <c r="I40" s="42"/>
    </row>
    <row r="41" customFormat="false" ht="37.5" hidden="false" customHeight="true" outlineLevel="0" collapsed="false">
      <c r="A41" s="36" t="n">
        <v>37</v>
      </c>
      <c r="B41" s="37" t="s">
        <v>897</v>
      </c>
      <c r="C41" s="38" t="s">
        <v>898</v>
      </c>
      <c r="D41" s="39"/>
      <c r="E41" s="39"/>
      <c r="F41" s="38"/>
      <c r="G41" s="38"/>
      <c r="H41" s="38"/>
      <c r="I41" s="38"/>
    </row>
    <row r="42" customFormat="false" ht="37.5" hidden="false" customHeight="true" outlineLevel="0" collapsed="false">
      <c r="A42" s="40" t="n">
        <v>38</v>
      </c>
      <c r="B42" s="41" t="s">
        <v>899</v>
      </c>
      <c r="C42" s="42" t="s">
        <v>900</v>
      </c>
      <c r="D42" s="39"/>
      <c r="E42" s="43"/>
      <c r="F42" s="42"/>
      <c r="G42" s="42"/>
      <c r="H42" s="42"/>
      <c r="I42" s="42"/>
    </row>
    <row r="43" customFormat="false" ht="37.5" hidden="false" customHeight="true" outlineLevel="0" collapsed="false">
      <c r="A43" s="36" t="n">
        <v>39</v>
      </c>
      <c r="B43" s="37" t="s">
        <v>901</v>
      </c>
      <c r="C43" s="38" t="s">
        <v>902</v>
      </c>
      <c r="D43" s="39"/>
      <c r="E43" s="39"/>
      <c r="F43" s="38"/>
      <c r="G43" s="38"/>
      <c r="H43" s="38"/>
      <c r="I43" s="38"/>
    </row>
    <row r="44" customFormat="false" ht="37.5" hidden="false" customHeight="true" outlineLevel="0" collapsed="false">
      <c r="A44" s="40" t="n">
        <v>40</v>
      </c>
      <c r="B44" s="41" t="s">
        <v>903</v>
      </c>
      <c r="C44" s="42" t="s">
        <v>904</v>
      </c>
      <c r="D44" s="39"/>
      <c r="E44" s="43"/>
      <c r="F44" s="42"/>
      <c r="G44" s="42"/>
      <c r="H44" s="42"/>
      <c r="I44" s="42"/>
    </row>
    <row r="45" customFormat="false" ht="37.5" hidden="false" customHeight="true" outlineLevel="0" collapsed="false">
      <c r="A45" s="36" t="n">
        <v>41</v>
      </c>
      <c r="B45" s="37" t="s">
        <v>905</v>
      </c>
      <c r="C45" s="38" t="s">
        <v>906</v>
      </c>
      <c r="D45" s="39"/>
      <c r="E45" s="39"/>
      <c r="F45" s="38"/>
      <c r="G45" s="38"/>
      <c r="H45" s="38"/>
      <c r="I45" s="38"/>
    </row>
    <row r="46" customFormat="false" ht="37.5" hidden="false" customHeight="true" outlineLevel="0" collapsed="false">
      <c r="A46" s="40" t="n">
        <v>42</v>
      </c>
      <c r="B46" s="41" t="s">
        <v>907</v>
      </c>
      <c r="C46" s="42" t="s">
        <v>908</v>
      </c>
      <c r="D46" s="39"/>
      <c r="E46" s="43"/>
      <c r="F46" s="42"/>
      <c r="G46" s="42"/>
      <c r="H46" s="42"/>
      <c r="I46" s="42"/>
    </row>
    <row r="47" customFormat="false" ht="37.5" hidden="false" customHeight="true" outlineLevel="0" collapsed="false">
      <c r="A47" s="36" t="n">
        <v>43</v>
      </c>
      <c r="B47" s="37" t="s">
        <v>909</v>
      </c>
      <c r="C47" s="38" t="s">
        <v>910</v>
      </c>
      <c r="D47" s="39"/>
      <c r="E47" s="39"/>
      <c r="F47" s="38"/>
      <c r="G47" s="38"/>
      <c r="H47" s="38"/>
      <c r="I47" s="38"/>
    </row>
    <row r="48" customFormat="false" ht="37.5" hidden="false" customHeight="true" outlineLevel="0" collapsed="false">
      <c r="A48" s="40" t="n">
        <v>44</v>
      </c>
      <c r="B48" s="41" t="s">
        <v>911</v>
      </c>
      <c r="C48" s="42" t="s">
        <v>912</v>
      </c>
      <c r="D48" s="39"/>
      <c r="E48" s="43"/>
      <c r="F48" s="42"/>
      <c r="G48" s="42"/>
      <c r="H48" s="42"/>
      <c r="I48" s="42"/>
    </row>
    <row r="49" customFormat="false" ht="37.5" hidden="false" customHeight="true" outlineLevel="0" collapsed="false">
      <c r="A49" s="36" t="n">
        <v>45</v>
      </c>
      <c r="B49" s="37" t="s">
        <v>913</v>
      </c>
      <c r="C49" s="38" t="s">
        <v>914</v>
      </c>
      <c r="D49" s="39"/>
      <c r="E49" s="39"/>
      <c r="F49" s="38"/>
      <c r="G49" s="38"/>
      <c r="H49" s="38"/>
      <c r="I49" s="38"/>
    </row>
    <row r="50" customFormat="false" ht="37.5" hidden="false" customHeight="true" outlineLevel="0" collapsed="false">
      <c r="A50" s="40" t="n">
        <v>46</v>
      </c>
      <c r="B50" s="41" t="s">
        <v>915</v>
      </c>
      <c r="C50" s="42" t="s">
        <v>916</v>
      </c>
      <c r="D50" s="39"/>
      <c r="E50" s="43"/>
      <c r="F50" s="42"/>
      <c r="G50" s="42"/>
      <c r="H50" s="42"/>
      <c r="I50" s="42"/>
    </row>
    <row r="51" customFormat="false" ht="37.5" hidden="false" customHeight="true" outlineLevel="0" collapsed="false">
      <c r="A51" s="36" t="n">
        <v>47</v>
      </c>
      <c r="B51" s="37" t="s">
        <v>917</v>
      </c>
      <c r="C51" s="38" t="s">
        <v>918</v>
      </c>
      <c r="D51" s="39"/>
      <c r="E51" s="39"/>
      <c r="F51" s="38"/>
      <c r="G51" s="38"/>
      <c r="H51" s="38"/>
      <c r="I51" s="38"/>
    </row>
    <row r="52" customFormat="false" ht="37.5" hidden="false" customHeight="true" outlineLevel="0" collapsed="false">
      <c r="A52" s="40" t="n">
        <v>48</v>
      </c>
      <c r="B52" s="41" t="s">
        <v>919</v>
      </c>
      <c r="C52" s="42" t="s">
        <v>920</v>
      </c>
      <c r="D52" s="39"/>
      <c r="E52" s="43"/>
      <c r="F52" s="42"/>
      <c r="G52" s="42"/>
      <c r="H52" s="42"/>
      <c r="I52" s="42"/>
    </row>
    <row r="53" customFormat="false" ht="37.5" hidden="false" customHeight="true" outlineLevel="0" collapsed="false">
      <c r="A53" s="36" t="n">
        <v>49</v>
      </c>
      <c r="B53" s="37" t="s">
        <v>921</v>
      </c>
      <c r="C53" s="38" t="s">
        <v>922</v>
      </c>
      <c r="D53" s="39"/>
      <c r="E53" s="39"/>
      <c r="F53" s="38"/>
      <c r="G53" s="38"/>
      <c r="H53" s="38"/>
      <c r="I53" s="38"/>
    </row>
    <row r="54" customFormat="false" ht="37.5" hidden="false" customHeight="true" outlineLevel="0" collapsed="false">
      <c r="A54" s="40" t="n">
        <v>50</v>
      </c>
      <c r="B54" s="41" t="s">
        <v>923</v>
      </c>
      <c r="C54" s="42" t="s">
        <v>924</v>
      </c>
      <c r="D54" s="39"/>
      <c r="E54" s="43"/>
      <c r="F54" s="42"/>
      <c r="G54" s="42"/>
      <c r="H54" s="42"/>
      <c r="I54" s="42"/>
    </row>
    <row r="55" customFormat="false" ht="37.5" hidden="false" customHeight="true" outlineLevel="0" collapsed="false">
      <c r="A55" s="36" t="n">
        <v>51</v>
      </c>
      <c r="B55" s="37" t="s">
        <v>925</v>
      </c>
      <c r="C55" s="38" t="s">
        <v>926</v>
      </c>
      <c r="D55" s="39"/>
      <c r="E55" s="39"/>
      <c r="F55" s="38"/>
      <c r="G55" s="38"/>
      <c r="H55" s="38"/>
      <c r="I55" s="38"/>
    </row>
    <row r="56" customFormat="false" ht="37.5" hidden="false" customHeight="true" outlineLevel="0" collapsed="false">
      <c r="A56" s="40" t="n">
        <v>52</v>
      </c>
      <c r="B56" s="41" t="s">
        <v>927</v>
      </c>
      <c r="C56" s="42" t="s">
        <v>928</v>
      </c>
      <c r="D56" s="39"/>
      <c r="E56" s="43"/>
      <c r="F56" s="42"/>
      <c r="G56" s="42"/>
      <c r="H56" s="42"/>
      <c r="I56" s="42"/>
    </row>
    <row r="57" customFormat="false" ht="37.5" hidden="false" customHeight="true" outlineLevel="0" collapsed="false">
      <c r="A57" s="36" t="n">
        <v>53</v>
      </c>
      <c r="B57" s="37" t="s">
        <v>929</v>
      </c>
      <c r="C57" s="38" t="s">
        <v>930</v>
      </c>
      <c r="D57" s="39"/>
      <c r="E57" s="39"/>
      <c r="F57" s="38"/>
      <c r="G57" s="38"/>
      <c r="H57" s="38"/>
      <c r="I57" s="38"/>
    </row>
    <row r="58" customFormat="false" ht="37.5" hidden="false" customHeight="true" outlineLevel="0" collapsed="false">
      <c r="A58" s="40" t="n">
        <v>54</v>
      </c>
      <c r="B58" s="41" t="s">
        <v>931</v>
      </c>
      <c r="C58" s="42" t="s">
        <v>932</v>
      </c>
      <c r="D58" s="39"/>
      <c r="E58" s="43"/>
      <c r="F58" s="42"/>
      <c r="G58" s="42"/>
      <c r="H58" s="42"/>
      <c r="I58" s="42"/>
    </row>
    <row r="59" customFormat="false" ht="37.5" hidden="false" customHeight="true" outlineLevel="0" collapsed="false">
      <c r="A59" s="36" t="n">
        <v>55</v>
      </c>
      <c r="B59" s="37" t="s">
        <v>933</v>
      </c>
      <c r="C59" s="38" t="s">
        <v>934</v>
      </c>
      <c r="D59" s="39"/>
      <c r="E59" s="39"/>
      <c r="F59" s="38"/>
      <c r="G59" s="38"/>
      <c r="H59" s="38"/>
      <c r="I59" s="38"/>
    </row>
    <row r="60" customFormat="false" ht="37.5" hidden="false" customHeight="true" outlineLevel="0" collapsed="false">
      <c r="A60" s="40" t="n">
        <v>56</v>
      </c>
      <c r="B60" s="41" t="s">
        <v>935</v>
      </c>
      <c r="C60" s="42" t="s">
        <v>936</v>
      </c>
      <c r="D60" s="39"/>
      <c r="E60" s="43"/>
      <c r="F60" s="42"/>
      <c r="G60" s="42"/>
      <c r="H60" s="42"/>
      <c r="I60" s="42"/>
    </row>
    <row r="61" customFormat="false" ht="37.5" hidden="false" customHeight="true" outlineLevel="0" collapsed="false">
      <c r="A61" s="36" t="n">
        <v>57</v>
      </c>
      <c r="B61" s="37" t="s">
        <v>937</v>
      </c>
      <c r="C61" s="38" t="s">
        <v>938</v>
      </c>
      <c r="D61" s="39"/>
      <c r="E61" s="39"/>
      <c r="F61" s="38"/>
      <c r="G61" s="38"/>
      <c r="H61" s="38"/>
      <c r="I61" s="38"/>
    </row>
    <row r="62" customFormat="false" ht="37.5" hidden="false" customHeight="true" outlineLevel="0" collapsed="false">
      <c r="A62" s="40" t="n">
        <v>58</v>
      </c>
      <c r="B62" s="41" t="s">
        <v>939</v>
      </c>
      <c r="C62" s="42" t="s">
        <v>940</v>
      </c>
      <c r="D62" s="39"/>
      <c r="E62" s="43"/>
      <c r="F62" s="42"/>
      <c r="G62" s="42"/>
      <c r="H62" s="42"/>
      <c r="I62" s="42"/>
    </row>
    <row r="63" customFormat="false" ht="37.5" hidden="false" customHeight="true" outlineLevel="0" collapsed="false">
      <c r="A63" s="36" t="n">
        <v>59</v>
      </c>
      <c r="B63" s="37" t="s">
        <v>941</v>
      </c>
      <c r="C63" s="38" t="s">
        <v>942</v>
      </c>
      <c r="D63" s="39"/>
      <c r="E63" s="39"/>
      <c r="F63" s="38"/>
      <c r="G63" s="38"/>
      <c r="H63" s="38"/>
      <c r="I63" s="38"/>
    </row>
    <row r="64" customFormat="false" ht="37.5" hidden="false" customHeight="true" outlineLevel="0" collapsed="false">
      <c r="A64" s="40" t="n">
        <v>60</v>
      </c>
      <c r="B64" s="41" t="s">
        <v>943</v>
      </c>
      <c r="C64" s="42" t="s">
        <v>944</v>
      </c>
      <c r="D64" s="39"/>
      <c r="E64" s="43"/>
      <c r="F64" s="42"/>
      <c r="G64" s="42"/>
      <c r="H64" s="42"/>
      <c r="I64" s="42"/>
    </row>
    <row r="65" customFormat="false" ht="37.5" hidden="false" customHeight="true" outlineLevel="0" collapsed="false">
      <c r="A65" s="36" t="n">
        <v>61</v>
      </c>
      <c r="B65" s="37" t="s">
        <v>945</v>
      </c>
      <c r="C65" s="38" t="s">
        <v>946</v>
      </c>
      <c r="D65" s="39"/>
      <c r="E65" s="39"/>
      <c r="F65" s="38"/>
      <c r="G65" s="38"/>
      <c r="H65" s="38"/>
      <c r="I65" s="38"/>
    </row>
    <row r="66" customFormat="false" ht="37.5" hidden="false" customHeight="true" outlineLevel="0" collapsed="false">
      <c r="A66" s="40" t="n">
        <v>62</v>
      </c>
      <c r="B66" s="41" t="s">
        <v>947</v>
      </c>
      <c r="C66" s="42" t="s">
        <v>948</v>
      </c>
      <c r="D66" s="39"/>
      <c r="E66" s="43"/>
      <c r="F66" s="42"/>
      <c r="G66" s="42"/>
      <c r="H66" s="42"/>
      <c r="I66" s="42"/>
    </row>
    <row r="67" customFormat="false" ht="37.5" hidden="false" customHeight="true" outlineLevel="0" collapsed="false">
      <c r="A67" s="36" t="n">
        <v>63</v>
      </c>
      <c r="B67" s="37" t="s">
        <v>949</v>
      </c>
      <c r="C67" s="38" t="s">
        <v>950</v>
      </c>
      <c r="D67" s="39"/>
      <c r="E67" s="39"/>
      <c r="F67" s="38"/>
      <c r="G67" s="38"/>
      <c r="H67" s="38"/>
      <c r="I67" s="38"/>
    </row>
    <row r="68" customFormat="false" ht="37.5" hidden="false" customHeight="true" outlineLevel="0" collapsed="false">
      <c r="A68" s="40" t="n">
        <v>64</v>
      </c>
      <c r="B68" s="41" t="s">
        <v>951</v>
      </c>
      <c r="C68" s="42" t="s">
        <v>952</v>
      </c>
      <c r="D68" s="39"/>
      <c r="E68" s="43"/>
      <c r="F68" s="42"/>
      <c r="G68" s="42"/>
      <c r="H68" s="42"/>
      <c r="I68" s="42"/>
    </row>
    <row r="69" customFormat="false" ht="37.5" hidden="false" customHeight="true" outlineLevel="0" collapsed="false">
      <c r="A69" s="36" t="n">
        <v>65</v>
      </c>
      <c r="B69" s="37" t="s">
        <v>953</v>
      </c>
      <c r="C69" s="38" t="s">
        <v>954</v>
      </c>
      <c r="D69" s="39"/>
      <c r="E69" s="39"/>
      <c r="F69" s="38"/>
      <c r="G69" s="38"/>
      <c r="H69" s="38"/>
      <c r="I69" s="38"/>
    </row>
    <row r="70" customFormat="false" ht="37.5" hidden="false" customHeight="true" outlineLevel="0" collapsed="false">
      <c r="A70" s="40" t="n">
        <v>66</v>
      </c>
      <c r="B70" s="41" t="s">
        <v>955</v>
      </c>
      <c r="C70" s="42" t="s">
        <v>956</v>
      </c>
      <c r="D70" s="39"/>
      <c r="E70" s="43"/>
      <c r="F70" s="42"/>
      <c r="G70" s="42"/>
      <c r="H70" s="42"/>
      <c r="I70" s="42"/>
    </row>
    <row r="71" customFormat="false" ht="37.5" hidden="false" customHeight="true" outlineLevel="0" collapsed="false">
      <c r="A71" s="36" t="n">
        <v>67</v>
      </c>
      <c r="B71" s="37" t="s">
        <v>957</v>
      </c>
      <c r="C71" s="38" t="s">
        <v>958</v>
      </c>
      <c r="D71" s="39"/>
      <c r="E71" s="39"/>
      <c r="F71" s="38"/>
      <c r="G71" s="38"/>
      <c r="H71" s="38"/>
      <c r="I71" s="38"/>
    </row>
    <row r="72" customFormat="false" ht="37.5" hidden="false" customHeight="true" outlineLevel="0" collapsed="false">
      <c r="A72" s="40" t="n">
        <v>68</v>
      </c>
      <c r="B72" s="41" t="s">
        <v>959</v>
      </c>
      <c r="C72" s="42" t="s">
        <v>960</v>
      </c>
      <c r="D72" s="39"/>
      <c r="E72" s="43"/>
      <c r="F72" s="42"/>
      <c r="G72" s="42"/>
      <c r="H72" s="42"/>
      <c r="I72" s="42"/>
    </row>
    <row r="73" customFormat="false" ht="37.5" hidden="false" customHeight="true" outlineLevel="0" collapsed="false">
      <c r="A73" s="36" t="n">
        <v>69</v>
      </c>
      <c r="B73" s="37" t="s">
        <v>961</v>
      </c>
      <c r="C73" s="38" t="s">
        <v>962</v>
      </c>
      <c r="D73" s="39"/>
      <c r="E73" s="39"/>
      <c r="F73" s="38"/>
      <c r="G73" s="38"/>
      <c r="H73" s="38"/>
      <c r="I73" s="38"/>
    </row>
    <row r="74" customFormat="false" ht="37.5" hidden="false" customHeight="true" outlineLevel="0" collapsed="false">
      <c r="A74" s="40" t="n">
        <v>70</v>
      </c>
      <c r="B74" s="41" t="s">
        <v>963</v>
      </c>
      <c r="C74" s="42" t="s">
        <v>964</v>
      </c>
      <c r="D74" s="39"/>
      <c r="E74" s="43"/>
      <c r="F74" s="42"/>
      <c r="G74" s="42"/>
      <c r="H74" s="42"/>
      <c r="I74" s="42"/>
    </row>
    <row r="75" customFormat="false" ht="37.5" hidden="false" customHeight="true" outlineLevel="0" collapsed="false">
      <c r="A75" s="36" t="n">
        <v>71</v>
      </c>
      <c r="B75" s="37" t="s">
        <v>965</v>
      </c>
      <c r="C75" s="38" t="s">
        <v>966</v>
      </c>
      <c r="D75" s="39"/>
      <c r="E75" s="39"/>
      <c r="F75" s="38"/>
      <c r="G75" s="38"/>
      <c r="H75" s="38"/>
      <c r="I75" s="38"/>
    </row>
    <row r="76" customFormat="false" ht="37.5" hidden="false" customHeight="true" outlineLevel="0" collapsed="false">
      <c r="A76" s="40" t="n">
        <v>72</v>
      </c>
      <c r="B76" s="41" t="s">
        <v>967</v>
      </c>
      <c r="C76" s="42" t="s">
        <v>968</v>
      </c>
      <c r="D76" s="39"/>
      <c r="E76" s="43"/>
      <c r="F76" s="42"/>
      <c r="G76" s="42"/>
      <c r="H76" s="42"/>
      <c r="I76" s="42"/>
    </row>
    <row r="77" customFormat="false" ht="37.5" hidden="false" customHeight="true" outlineLevel="0" collapsed="false">
      <c r="A77" s="36" t="n">
        <v>73</v>
      </c>
      <c r="B77" s="37" t="s">
        <v>969</v>
      </c>
      <c r="C77" s="38" t="s">
        <v>970</v>
      </c>
      <c r="D77" s="39"/>
      <c r="E77" s="39"/>
      <c r="F77" s="38"/>
      <c r="G77" s="38"/>
      <c r="H77" s="38"/>
      <c r="I77" s="38"/>
    </row>
    <row r="78" customFormat="false" ht="37.5" hidden="false" customHeight="true" outlineLevel="0" collapsed="false">
      <c r="A78" s="40" t="n">
        <v>74</v>
      </c>
      <c r="B78" s="41" t="s">
        <v>971</v>
      </c>
      <c r="C78" s="42" t="s">
        <v>972</v>
      </c>
      <c r="D78" s="39"/>
      <c r="E78" s="43"/>
      <c r="F78" s="42"/>
      <c r="G78" s="42"/>
      <c r="H78" s="42"/>
      <c r="I78" s="42"/>
    </row>
    <row r="79" customFormat="false" ht="37.5" hidden="false" customHeight="true" outlineLevel="0" collapsed="false">
      <c r="A79" s="36" t="n">
        <v>75</v>
      </c>
      <c r="B79" s="37" t="s">
        <v>973</v>
      </c>
      <c r="C79" s="38" t="s">
        <v>974</v>
      </c>
      <c r="D79" s="39"/>
      <c r="E79" s="39"/>
      <c r="F79" s="38"/>
      <c r="G79" s="38"/>
      <c r="H79" s="38"/>
      <c r="I79" s="38"/>
    </row>
    <row r="80" customFormat="false" ht="37.5" hidden="false" customHeight="true" outlineLevel="0" collapsed="false">
      <c r="A80" s="40" t="n">
        <v>76</v>
      </c>
      <c r="B80" s="41" t="s">
        <v>975</v>
      </c>
      <c r="C80" s="42" t="s">
        <v>976</v>
      </c>
      <c r="D80" s="39"/>
      <c r="E80" s="43"/>
      <c r="F80" s="42"/>
      <c r="G80" s="42"/>
      <c r="H80" s="42"/>
      <c r="I80" s="42"/>
    </row>
    <row r="81" customFormat="false" ht="37.5" hidden="false" customHeight="true" outlineLevel="0" collapsed="false">
      <c r="A81" s="36" t="n">
        <v>77</v>
      </c>
      <c r="B81" s="37" t="s">
        <v>977</v>
      </c>
      <c r="C81" s="38" t="s">
        <v>978</v>
      </c>
      <c r="D81" s="39"/>
      <c r="E81" s="39"/>
      <c r="F81" s="38"/>
      <c r="G81" s="38"/>
      <c r="H81" s="38"/>
      <c r="I81" s="38"/>
    </row>
    <row r="82" customFormat="false" ht="37.5" hidden="false" customHeight="true" outlineLevel="0" collapsed="false">
      <c r="A82" s="40" t="n">
        <v>78</v>
      </c>
      <c r="B82" s="41" t="s">
        <v>979</v>
      </c>
      <c r="C82" s="42" t="s">
        <v>980</v>
      </c>
      <c r="D82" s="39"/>
      <c r="E82" s="43"/>
      <c r="F82" s="42"/>
      <c r="G82" s="42"/>
      <c r="H82" s="42"/>
      <c r="I82" s="42"/>
    </row>
    <row r="83" customFormat="false" ht="37.5" hidden="false" customHeight="true" outlineLevel="0" collapsed="false">
      <c r="A83" s="36" t="n">
        <v>79</v>
      </c>
      <c r="B83" s="37" t="s">
        <v>981</v>
      </c>
      <c r="C83" s="38" t="s">
        <v>982</v>
      </c>
      <c r="D83" s="39"/>
      <c r="E83" s="39"/>
      <c r="F83" s="38"/>
      <c r="G83" s="38"/>
      <c r="H83" s="38"/>
      <c r="I83" s="38"/>
    </row>
    <row r="84" customFormat="false" ht="37.5" hidden="false" customHeight="true" outlineLevel="0" collapsed="false">
      <c r="A84" s="40" t="n">
        <v>80</v>
      </c>
      <c r="B84" s="41" t="s">
        <v>983</v>
      </c>
      <c r="C84" s="42" t="s">
        <v>984</v>
      </c>
      <c r="D84" s="39"/>
      <c r="E84" s="43"/>
      <c r="F84" s="42"/>
      <c r="G84" s="42"/>
      <c r="H84" s="42"/>
      <c r="I84" s="42"/>
    </row>
    <row r="85" customFormat="false" ht="37.5" hidden="false" customHeight="true" outlineLevel="0" collapsed="false">
      <c r="A85" s="36" t="n">
        <v>81</v>
      </c>
      <c r="B85" s="37" t="s">
        <v>985</v>
      </c>
      <c r="C85" s="38" t="s">
        <v>986</v>
      </c>
      <c r="D85" s="39"/>
      <c r="E85" s="39"/>
      <c r="F85" s="38"/>
      <c r="G85" s="38"/>
      <c r="H85" s="38"/>
      <c r="I85" s="38"/>
    </row>
    <row r="86" customFormat="false" ht="37.5" hidden="false" customHeight="true" outlineLevel="0" collapsed="false">
      <c r="A86" s="40" t="n">
        <v>82</v>
      </c>
      <c r="B86" s="41" t="s">
        <v>987</v>
      </c>
      <c r="C86" s="42" t="s">
        <v>988</v>
      </c>
      <c r="D86" s="39"/>
      <c r="E86" s="43"/>
      <c r="F86" s="42"/>
      <c r="G86" s="42"/>
      <c r="H86" s="42"/>
      <c r="I86" s="42"/>
    </row>
    <row r="87" customFormat="false" ht="37.5" hidden="false" customHeight="true" outlineLevel="0" collapsed="false">
      <c r="A87" s="36" t="n">
        <v>83</v>
      </c>
      <c r="B87" s="37" t="s">
        <v>989</v>
      </c>
      <c r="C87" s="38" t="s">
        <v>990</v>
      </c>
      <c r="D87" s="39"/>
      <c r="E87" s="39"/>
      <c r="F87" s="38"/>
      <c r="G87" s="38"/>
      <c r="H87" s="38"/>
      <c r="I87" s="38"/>
    </row>
    <row r="88" customFormat="false" ht="37.5" hidden="false" customHeight="true" outlineLevel="0" collapsed="false">
      <c r="A88" s="40" t="n">
        <v>84</v>
      </c>
      <c r="B88" s="41" t="s">
        <v>991</v>
      </c>
      <c r="C88" s="42" t="s">
        <v>992</v>
      </c>
      <c r="D88" s="39"/>
      <c r="E88" s="43"/>
      <c r="F88" s="42"/>
      <c r="G88" s="42"/>
      <c r="H88" s="42"/>
      <c r="I88" s="42"/>
    </row>
    <row r="89" customFormat="false" ht="37.5" hidden="false" customHeight="true" outlineLevel="0" collapsed="false">
      <c r="A89" s="36" t="n">
        <v>85</v>
      </c>
      <c r="B89" s="37" t="s">
        <v>993</v>
      </c>
      <c r="C89" s="38" t="s">
        <v>994</v>
      </c>
      <c r="D89" s="39"/>
      <c r="E89" s="39"/>
      <c r="F89" s="38"/>
      <c r="G89" s="38"/>
      <c r="H89" s="38"/>
      <c r="I89" s="38"/>
    </row>
    <row r="90" customFormat="false" ht="37.5" hidden="false" customHeight="true" outlineLevel="0" collapsed="false">
      <c r="A90" s="40" t="n">
        <v>86</v>
      </c>
      <c r="B90" s="41" t="s">
        <v>995</v>
      </c>
      <c r="C90" s="42" t="s">
        <v>996</v>
      </c>
      <c r="D90" s="39"/>
      <c r="E90" s="43"/>
      <c r="F90" s="42"/>
      <c r="G90" s="42"/>
      <c r="H90" s="42"/>
      <c r="I90" s="42"/>
    </row>
    <row r="91" customFormat="false" ht="37.5" hidden="false" customHeight="true" outlineLevel="0" collapsed="false">
      <c r="A91" s="36" t="n">
        <v>87</v>
      </c>
      <c r="B91" s="37" t="s">
        <v>997</v>
      </c>
      <c r="C91" s="38" t="s">
        <v>998</v>
      </c>
      <c r="D91" s="39"/>
      <c r="E91" s="39"/>
      <c r="F91" s="38"/>
      <c r="G91" s="38"/>
      <c r="H91" s="38"/>
      <c r="I91" s="38"/>
    </row>
    <row r="92" customFormat="false" ht="37.5" hidden="false" customHeight="true" outlineLevel="0" collapsed="false">
      <c r="A92" s="40" t="n">
        <v>88</v>
      </c>
      <c r="B92" s="41" t="s">
        <v>999</v>
      </c>
      <c r="C92" s="42" t="s">
        <v>1000</v>
      </c>
      <c r="D92" s="39"/>
      <c r="E92" s="43"/>
      <c r="F92" s="42"/>
      <c r="G92" s="42"/>
      <c r="H92" s="42"/>
      <c r="I92" s="42"/>
    </row>
    <row r="93" customFormat="false" ht="37.5" hidden="false" customHeight="true" outlineLevel="0" collapsed="false">
      <c r="A93" s="36" t="n">
        <v>89</v>
      </c>
      <c r="B93" s="37" t="s">
        <v>1001</v>
      </c>
      <c r="C93" s="38" t="s">
        <v>1002</v>
      </c>
      <c r="D93" s="39"/>
      <c r="E93" s="39"/>
      <c r="F93" s="38"/>
      <c r="G93" s="38"/>
      <c r="H93" s="38"/>
      <c r="I93" s="38"/>
    </row>
    <row r="94" customFormat="false" ht="37.5" hidden="false" customHeight="true" outlineLevel="0" collapsed="false">
      <c r="A94" s="40" t="n">
        <v>90</v>
      </c>
      <c r="B94" s="41" t="s">
        <v>1003</v>
      </c>
      <c r="C94" s="42" t="s">
        <v>1004</v>
      </c>
      <c r="D94" s="39"/>
      <c r="E94" s="43"/>
      <c r="F94" s="42"/>
      <c r="G94" s="42"/>
      <c r="H94" s="42"/>
      <c r="I94" s="42"/>
    </row>
    <row r="95" customFormat="false" ht="37.5" hidden="false" customHeight="true" outlineLevel="0" collapsed="false">
      <c r="A95" s="36" t="n">
        <v>91</v>
      </c>
      <c r="B95" s="37" t="s">
        <v>1005</v>
      </c>
      <c r="C95" s="38" t="s">
        <v>1006</v>
      </c>
      <c r="D95" s="39"/>
      <c r="E95" s="39"/>
      <c r="F95" s="38"/>
      <c r="G95" s="38"/>
      <c r="H95" s="38"/>
      <c r="I95" s="38"/>
    </row>
    <row r="96" customFormat="false" ht="37.5" hidden="false" customHeight="true" outlineLevel="0" collapsed="false">
      <c r="A96" s="40" t="n">
        <v>92</v>
      </c>
      <c r="B96" s="41" t="s">
        <v>1007</v>
      </c>
      <c r="C96" s="42" t="s">
        <v>1008</v>
      </c>
      <c r="D96" s="39"/>
      <c r="E96" s="43"/>
      <c r="F96" s="42"/>
      <c r="G96" s="42"/>
      <c r="H96" s="42"/>
      <c r="I96" s="42"/>
    </row>
    <row r="97" customFormat="false" ht="37.5" hidden="false" customHeight="true" outlineLevel="0" collapsed="false">
      <c r="A97" s="36" t="n">
        <v>93</v>
      </c>
      <c r="B97" s="37" t="s">
        <v>1009</v>
      </c>
      <c r="C97" s="38" t="s">
        <v>1010</v>
      </c>
      <c r="D97" s="39"/>
      <c r="E97" s="39"/>
      <c r="F97" s="38"/>
      <c r="G97" s="38"/>
      <c r="H97" s="38"/>
      <c r="I97" s="38"/>
    </row>
    <row r="98" customFormat="false" ht="37.5" hidden="false" customHeight="true" outlineLevel="0" collapsed="false">
      <c r="A98" s="40" t="n">
        <v>94</v>
      </c>
      <c r="B98" s="41" t="s">
        <v>1011</v>
      </c>
      <c r="C98" s="42" t="s">
        <v>1012</v>
      </c>
      <c r="D98" s="39"/>
      <c r="E98" s="43"/>
      <c r="F98" s="42"/>
      <c r="G98" s="42"/>
      <c r="H98" s="42"/>
      <c r="I98" s="42"/>
    </row>
    <row r="99" customFormat="false" ht="37.5" hidden="false" customHeight="true" outlineLevel="0" collapsed="false">
      <c r="A99" s="36" t="n">
        <v>95</v>
      </c>
      <c r="B99" s="37" t="s">
        <v>1013</v>
      </c>
      <c r="C99" s="38" t="s">
        <v>1014</v>
      </c>
      <c r="D99" s="39"/>
      <c r="E99" s="39"/>
      <c r="F99" s="38"/>
      <c r="G99" s="38"/>
      <c r="H99" s="38"/>
      <c r="I99" s="38"/>
    </row>
    <row r="100" customFormat="false" ht="37.5" hidden="false" customHeight="true" outlineLevel="0" collapsed="false">
      <c r="A100" s="40" t="n">
        <v>96</v>
      </c>
      <c r="B100" s="41" t="s">
        <v>1015</v>
      </c>
      <c r="C100" s="42" t="s">
        <v>1016</v>
      </c>
      <c r="D100" s="39"/>
      <c r="E100" s="43"/>
      <c r="F100" s="42"/>
      <c r="G100" s="42"/>
      <c r="H100" s="42"/>
      <c r="I100" s="42"/>
    </row>
    <row r="101" customFormat="false" ht="37.5" hidden="false" customHeight="true" outlineLevel="0" collapsed="false">
      <c r="A101" s="36" t="n">
        <v>97</v>
      </c>
      <c r="B101" s="37" t="s">
        <v>1017</v>
      </c>
      <c r="C101" s="38" t="s">
        <v>1018</v>
      </c>
      <c r="D101" s="39"/>
      <c r="E101" s="39"/>
      <c r="F101" s="38"/>
      <c r="G101" s="38"/>
      <c r="H101" s="38"/>
      <c r="I101" s="38"/>
    </row>
    <row r="102" customFormat="false" ht="37.5" hidden="false" customHeight="true" outlineLevel="0" collapsed="false">
      <c r="A102" s="40" t="n">
        <v>98</v>
      </c>
      <c r="B102" s="41" t="s">
        <v>1019</v>
      </c>
      <c r="C102" s="42" t="s">
        <v>1020</v>
      </c>
      <c r="D102" s="39"/>
      <c r="E102" s="43"/>
      <c r="F102" s="42"/>
      <c r="G102" s="42"/>
      <c r="H102" s="42"/>
      <c r="I102" s="42"/>
    </row>
    <row r="103" customFormat="false" ht="37.5" hidden="false" customHeight="true" outlineLevel="0" collapsed="false">
      <c r="A103" s="36" t="n">
        <v>99</v>
      </c>
      <c r="B103" s="37" t="s">
        <v>1021</v>
      </c>
      <c r="C103" s="38" t="s">
        <v>1022</v>
      </c>
      <c r="D103" s="39"/>
      <c r="E103" s="39"/>
      <c r="F103" s="38"/>
      <c r="G103" s="38"/>
      <c r="H103" s="38"/>
      <c r="I103" s="38"/>
    </row>
    <row r="104" customFormat="false" ht="37.5" hidden="false" customHeight="true" outlineLevel="0" collapsed="false">
      <c r="A104" s="40" t="n">
        <v>100</v>
      </c>
      <c r="B104" s="41" t="s">
        <v>1023</v>
      </c>
      <c r="C104" s="42" t="s">
        <v>1024</v>
      </c>
      <c r="D104" s="39"/>
      <c r="E104" s="43"/>
      <c r="F104" s="42"/>
      <c r="G104" s="42"/>
      <c r="H104" s="42"/>
      <c r="I104" s="42"/>
    </row>
    <row r="105" customFormat="false" ht="37.5" hidden="false" customHeight="true" outlineLevel="0" collapsed="false">
      <c r="A105" s="36" t="n">
        <v>101</v>
      </c>
      <c r="B105" s="37" t="s">
        <v>1025</v>
      </c>
      <c r="C105" s="38" t="s">
        <v>1026</v>
      </c>
      <c r="D105" s="39"/>
      <c r="E105" s="39"/>
      <c r="F105" s="38"/>
      <c r="G105" s="38"/>
      <c r="H105" s="38"/>
      <c r="I105" s="38"/>
    </row>
    <row r="106" customFormat="false" ht="37.5" hidden="false" customHeight="true" outlineLevel="0" collapsed="false">
      <c r="A106" s="40" t="n">
        <v>102</v>
      </c>
      <c r="B106" s="41" t="s">
        <v>1027</v>
      </c>
      <c r="C106" s="42" t="s">
        <v>1028</v>
      </c>
      <c r="D106" s="39"/>
      <c r="E106" s="43"/>
      <c r="F106" s="42"/>
      <c r="G106" s="42"/>
      <c r="H106" s="42"/>
      <c r="I106" s="42"/>
    </row>
    <row r="107" customFormat="false" ht="37.5" hidden="false" customHeight="true" outlineLevel="0" collapsed="false">
      <c r="A107" s="36" t="n">
        <v>103</v>
      </c>
      <c r="B107" s="37" t="s">
        <v>1029</v>
      </c>
      <c r="C107" s="38" t="s">
        <v>1030</v>
      </c>
      <c r="D107" s="39"/>
      <c r="E107" s="39"/>
      <c r="F107" s="38"/>
      <c r="G107" s="38"/>
      <c r="H107" s="38"/>
      <c r="I107" s="38"/>
    </row>
    <row r="108" customFormat="false" ht="37.5" hidden="false" customHeight="true" outlineLevel="0" collapsed="false">
      <c r="A108" s="40" t="n">
        <v>104</v>
      </c>
      <c r="B108" s="41" t="s">
        <v>1031</v>
      </c>
      <c r="C108" s="42" t="s">
        <v>1032</v>
      </c>
      <c r="D108" s="39"/>
      <c r="E108" s="43"/>
      <c r="F108" s="42"/>
      <c r="G108" s="42"/>
      <c r="H108" s="42"/>
      <c r="I108" s="42"/>
    </row>
    <row r="109" customFormat="false" ht="37.5" hidden="false" customHeight="true" outlineLevel="0" collapsed="false">
      <c r="A109" s="36" t="n">
        <v>105</v>
      </c>
      <c r="B109" s="37" t="s">
        <v>1033</v>
      </c>
      <c r="C109" s="38" t="s">
        <v>1034</v>
      </c>
      <c r="D109" s="39"/>
      <c r="E109" s="39"/>
      <c r="F109" s="38"/>
      <c r="G109" s="38"/>
      <c r="H109" s="38"/>
      <c r="I109" s="38"/>
    </row>
    <row r="110" customFormat="false" ht="37.5" hidden="false" customHeight="true" outlineLevel="0" collapsed="false">
      <c r="A110" s="40" t="n">
        <v>106</v>
      </c>
      <c r="B110" s="41" t="s">
        <v>1035</v>
      </c>
      <c r="C110" s="42" t="s">
        <v>1036</v>
      </c>
      <c r="D110" s="39"/>
      <c r="E110" s="43"/>
      <c r="F110" s="42"/>
      <c r="G110" s="42"/>
      <c r="H110" s="42"/>
      <c r="I110" s="42"/>
    </row>
    <row r="111" customFormat="false" ht="37.5" hidden="false" customHeight="true" outlineLevel="0" collapsed="false">
      <c r="A111" s="36" t="n">
        <v>107</v>
      </c>
      <c r="B111" s="37" t="s">
        <v>1037</v>
      </c>
      <c r="C111" s="38" t="s">
        <v>1038</v>
      </c>
      <c r="D111" s="39"/>
      <c r="E111" s="39"/>
      <c r="F111" s="38"/>
      <c r="G111" s="38"/>
      <c r="H111" s="38"/>
      <c r="I111" s="38"/>
    </row>
    <row r="112" customFormat="false" ht="37.5" hidden="false" customHeight="true" outlineLevel="0" collapsed="false">
      <c r="A112" s="40" t="n">
        <v>108</v>
      </c>
      <c r="B112" s="41" t="s">
        <v>1039</v>
      </c>
      <c r="C112" s="42" t="s">
        <v>1040</v>
      </c>
      <c r="D112" s="39"/>
      <c r="E112" s="43"/>
      <c r="F112" s="42"/>
      <c r="G112" s="42"/>
      <c r="H112" s="42"/>
      <c r="I112" s="42"/>
    </row>
    <row r="113" customFormat="false" ht="37.5" hidden="false" customHeight="true" outlineLevel="0" collapsed="false">
      <c r="A113" s="36" t="n">
        <v>109</v>
      </c>
      <c r="B113" s="37" t="s">
        <v>1041</v>
      </c>
      <c r="C113" s="38" t="s">
        <v>1042</v>
      </c>
      <c r="D113" s="39"/>
      <c r="E113" s="39"/>
      <c r="F113" s="38"/>
      <c r="G113" s="38"/>
      <c r="H113" s="38"/>
      <c r="I113" s="38"/>
    </row>
    <row r="114" customFormat="false" ht="37.5" hidden="false" customHeight="true" outlineLevel="0" collapsed="false">
      <c r="A114" s="40" t="n">
        <v>110</v>
      </c>
      <c r="B114" s="41" t="s">
        <v>1043</v>
      </c>
      <c r="C114" s="42" t="s">
        <v>1044</v>
      </c>
      <c r="D114" s="39"/>
      <c r="E114" s="43"/>
      <c r="F114" s="42"/>
      <c r="G114" s="42"/>
      <c r="H114" s="42"/>
      <c r="I114" s="42"/>
    </row>
    <row r="115" customFormat="false" ht="37.5" hidden="false" customHeight="true" outlineLevel="0" collapsed="false">
      <c r="A115" s="36" t="n">
        <v>111</v>
      </c>
      <c r="B115" s="37" t="s">
        <v>1045</v>
      </c>
      <c r="C115" s="38" t="s">
        <v>1046</v>
      </c>
      <c r="D115" s="39"/>
      <c r="E115" s="39"/>
      <c r="F115" s="38"/>
      <c r="G115" s="38"/>
      <c r="H115" s="38"/>
      <c r="I115" s="38"/>
    </row>
    <row r="116" customFormat="false" ht="37.5" hidden="false" customHeight="true" outlineLevel="0" collapsed="false">
      <c r="A116" s="40" t="n">
        <v>112</v>
      </c>
      <c r="B116" s="41" t="s">
        <v>1047</v>
      </c>
      <c r="C116" s="42" t="s">
        <v>1048</v>
      </c>
      <c r="D116" s="39"/>
      <c r="E116" s="43"/>
      <c r="F116" s="42"/>
      <c r="G116" s="42"/>
      <c r="H116" s="42"/>
      <c r="I116" s="42"/>
    </row>
  </sheetData>
  <autoFilter ref="A4:I116"/>
  <mergeCells count="2">
    <mergeCell ref="A1:I1"/>
    <mergeCell ref="A2:I2"/>
  </mergeCells>
  <conditionalFormatting sqref="D5:D116">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1049</v>
      </c>
      <c r="B1" s="35"/>
      <c r="C1" s="35"/>
      <c r="D1" s="35"/>
      <c r="E1" s="35"/>
      <c r="F1" s="35"/>
      <c r="G1" s="35"/>
      <c r="H1" s="35"/>
      <c r="I1" s="35"/>
    </row>
    <row r="2" customFormat="false" ht="19.5" hidden="false" customHeight="true" outlineLevel="0" collapsed="false">
      <c r="A2" s="18" t="s">
        <v>1050</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1051</v>
      </c>
      <c r="C5" s="38" t="s">
        <v>1052</v>
      </c>
      <c r="D5" s="39"/>
      <c r="E5" s="39"/>
      <c r="F5" s="38"/>
      <c r="G5" s="38"/>
      <c r="H5" s="38"/>
      <c r="I5" s="38"/>
    </row>
    <row r="6" customFormat="false" ht="37.5" hidden="false" customHeight="true" outlineLevel="0" collapsed="false">
      <c r="A6" s="40" t="n">
        <v>2</v>
      </c>
      <c r="B6" s="41" t="s">
        <v>1053</v>
      </c>
      <c r="C6" s="42" t="s">
        <v>1054</v>
      </c>
      <c r="D6" s="39"/>
      <c r="E6" s="43"/>
      <c r="F6" s="42"/>
      <c r="G6" s="42"/>
      <c r="H6" s="42"/>
      <c r="I6" s="42"/>
    </row>
    <row r="7" customFormat="false" ht="37.5" hidden="false" customHeight="true" outlineLevel="0" collapsed="false">
      <c r="A7" s="36" t="n">
        <v>3</v>
      </c>
      <c r="B7" s="37" t="s">
        <v>1055</v>
      </c>
      <c r="C7" s="38" t="s">
        <v>1056</v>
      </c>
      <c r="D7" s="39"/>
      <c r="E7" s="39"/>
      <c r="F7" s="38"/>
      <c r="G7" s="38"/>
      <c r="H7" s="38"/>
      <c r="I7" s="38"/>
    </row>
    <row r="8" customFormat="false" ht="37.5" hidden="false" customHeight="true" outlineLevel="0" collapsed="false">
      <c r="A8" s="40" t="n">
        <v>4</v>
      </c>
      <c r="B8" s="41" t="s">
        <v>1057</v>
      </c>
      <c r="C8" s="42" t="s">
        <v>1058</v>
      </c>
      <c r="D8" s="39"/>
      <c r="E8" s="43"/>
      <c r="F8" s="42"/>
      <c r="G8" s="42"/>
      <c r="H8" s="42"/>
      <c r="I8" s="42"/>
    </row>
    <row r="9" customFormat="false" ht="37.5" hidden="false" customHeight="true" outlineLevel="0" collapsed="false">
      <c r="A9" s="36" t="n">
        <v>5</v>
      </c>
      <c r="B9" s="37" t="s">
        <v>1059</v>
      </c>
      <c r="C9" s="38" t="s">
        <v>1060</v>
      </c>
      <c r="D9" s="39"/>
      <c r="E9" s="39"/>
      <c r="F9" s="38"/>
      <c r="G9" s="38"/>
      <c r="H9" s="38"/>
      <c r="I9" s="38"/>
    </row>
    <row r="10" customFormat="false" ht="37.5" hidden="false" customHeight="true" outlineLevel="0" collapsed="false">
      <c r="A10" s="40" t="n">
        <v>6</v>
      </c>
      <c r="B10" s="41" t="s">
        <v>1061</v>
      </c>
      <c r="C10" s="42" t="s">
        <v>1062</v>
      </c>
      <c r="D10" s="39"/>
      <c r="E10" s="43"/>
      <c r="F10" s="42"/>
      <c r="G10" s="42"/>
      <c r="H10" s="42"/>
      <c r="I10" s="42"/>
    </row>
    <row r="11" customFormat="false" ht="37.5" hidden="false" customHeight="true" outlineLevel="0" collapsed="false">
      <c r="A11" s="36" t="n">
        <v>7</v>
      </c>
      <c r="B11" s="37" t="s">
        <v>1063</v>
      </c>
      <c r="C11" s="38" t="s">
        <v>1064</v>
      </c>
      <c r="D11" s="39"/>
      <c r="E11" s="39"/>
      <c r="F11" s="38"/>
      <c r="G11" s="38"/>
      <c r="H11" s="38"/>
      <c r="I11" s="38"/>
    </row>
    <row r="12" customFormat="false" ht="37.5" hidden="false" customHeight="true" outlineLevel="0" collapsed="false">
      <c r="A12" s="40" t="n">
        <v>8</v>
      </c>
      <c r="B12" s="41" t="s">
        <v>1065</v>
      </c>
      <c r="C12" s="42" t="s">
        <v>1066</v>
      </c>
      <c r="D12" s="39"/>
      <c r="E12" s="43"/>
      <c r="F12" s="42"/>
      <c r="G12" s="42"/>
      <c r="H12" s="42"/>
      <c r="I12" s="42"/>
    </row>
    <row r="13" customFormat="false" ht="37.5" hidden="false" customHeight="true" outlineLevel="0" collapsed="false">
      <c r="A13" s="36" t="n">
        <v>9</v>
      </c>
      <c r="B13" s="37" t="s">
        <v>1067</v>
      </c>
      <c r="C13" s="38" t="s">
        <v>1068</v>
      </c>
      <c r="D13" s="39"/>
      <c r="E13" s="39"/>
      <c r="F13" s="38"/>
      <c r="G13" s="38"/>
      <c r="H13" s="38"/>
      <c r="I13" s="38"/>
    </row>
    <row r="14" customFormat="false" ht="37.5" hidden="false" customHeight="true" outlineLevel="0" collapsed="false">
      <c r="A14" s="40" t="n">
        <v>10</v>
      </c>
      <c r="B14" s="41" t="s">
        <v>1069</v>
      </c>
      <c r="C14" s="42" t="s">
        <v>1070</v>
      </c>
      <c r="D14" s="39"/>
      <c r="E14" s="43"/>
      <c r="F14" s="42"/>
      <c r="G14" s="42"/>
      <c r="H14" s="42"/>
      <c r="I14" s="42"/>
    </row>
    <row r="15" customFormat="false" ht="37.5" hidden="false" customHeight="true" outlineLevel="0" collapsed="false">
      <c r="A15" s="36" t="n">
        <v>11</v>
      </c>
      <c r="B15" s="37" t="s">
        <v>1071</v>
      </c>
      <c r="C15" s="38" t="s">
        <v>1072</v>
      </c>
      <c r="D15" s="39"/>
      <c r="E15" s="39"/>
      <c r="F15" s="38"/>
      <c r="G15" s="38"/>
      <c r="H15" s="38"/>
      <c r="I15" s="38"/>
    </row>
    <row r="16" customFormat="false" ht="37.5" hidden="false" customHeight="true" outlineLevel="0" collapsed="false">
      <c r="A16" s="40" t="n">
        <v>12</v>
      </c>
      <c r="B16" s="41" t="s">
        <v>1073</v>
      </c>
      <c r="C16" s="42" t="s">
        <v>1074</v>
      </c>
      <c r="D16" s="39"/>
      <c r="E16" s="43"/>
      <c r="F16" s="42"/>
      <c r="G16" s="42"/>
      <c r="H16" s="42"/>
      <c r="I16" s="42"/>
    </row>
    <row r="17" customFormat="false" ht="37.5" hidden="false" customHeight="true" outlineLevel="0" collapsed="false">
      <c r="A17" s="36" t="n">
        <v>13</v>
      </c>
      <c r="B17" s="37" t="s">
        <v>1075</v>
      </c>
      <c r="C17" s="38" t="s">
        <v>1076</v>
      </c>
      <c r="D17" s="39"/>
      <c r="E17" s="39"/>
      <c r="F17" s="38"/>
      <c r="G17" s="38"/>
      <c r="H17" s="38"/>
      <c r="I17" s="38"/>
    </row>
    <row r="18" customFormat="false" ht="37.5" hidden="false" customHeight="true" outlineLevel="0" collapsed="false">
      <c r="A18" s="40" t="n">
        <v>14</v>
      </c>
      <c r="B18" s="41" t="s">
        <v>1077</v>
      </c>
      <c r="C18" s="42" t="s">
        <v>1078</v>
      </c>
      <c r="D18" s="39"/>
      <c r="E18" s="43"/>
      <c r="F18" s="42"/>
      <c r="G18" s="42"/>
      <c r="H18" s="42"/>
      <c r="I18" s="42"/>
    </row>
    <row r="19" customFormat="false" ht="37.5" hidden="false" customHeight="true" outlineLevel="0" collapsed="false">
      <c r="A19" s="36" t="n">
        <v>15</v>
      </c>
      <c r="B19" s="37" t="s">
        <v>1079</v>
      </c>
      <c r="C19" s="38" t="s">
        <v>1080</v>
      </c>
      <c r="D19" s="39"/>
      <c r="E19" s="39"/>
      <c r="F19" s="38"/>
      <c r="G19" s="38"/>
      <c r="H19" s="38"/>
      <c r="I19" s="38"/>
    </row>
    <row r="20" customFormat="false" ht="37.5" hidden="false" customHeight="true" outlineLevel="0" collapsed="false">
      <c r="A20" s="40" t="n">
        <v>16</v>
      </c>
      <c r="B20" s="41" t="s">
        <v>1081</v>
      </c>
      <c r="C20" s="42" t="s">
        <v>1082</v>
      </c>
      <c r="D20" s="39"/>
      <c r="E20" s="43"/>
      <c r="F20" s="42"/>
      <c r="G20" s="42"/>
      <c r="H20" s="42"/>
      <c r="I20" s="42"/>
    </row>
    <row r="21" customFormat="false" ht="37.5" hidden="false" customHeight="true" outlineLevel="0" collapsed="false">
      <c r="A21" s="36" t="n">
        <v>17</v>
      </c>
      <c r="B21" s="37" t="s">
        <v>1083</v>
      </c>
      <c r="C21" s="38" t="s">
        <v>1084</v>
      </c>
      <c r="D21" s="39"/>
      <c r="E21" s="39"/>
      <c r="F21" s="38"/>
      <c r="G21" s="38"/>
      <c r="H21" s="38"/>
      <c r="I21" s="38"/>
    </row>
    <row r="22" customFormat="false" ht="37.5" hidden="false" customHeight="true" outlineLevel="0" collapsed="false">
      <c r="A22" s="40" t="n">
        <v>18</v>
      </c>
      <c r="B22" s="41" t="s">
        <v>1085</v>
      </c>
      <c r="C22" s="42" t="s">
        <v>1086</v>
      </c>
      <c r="D22" s="39"/>
      <c r="E22" s="43"/>
      <c r="F22" s="42"/>
      <c r="G22" s="42"/>
      <c r="H22" s="42"/>
      <c r="I22" s="42"/>
    </row>
    <row r="23" customFormat="false" ht="37.5" hidden="false" customHeight="true" outlineLevel="0" collapsed="false">
      <c r="A23" s="36" t="n">
        <v>19</v>
      </c>
      <c r="B23" s="37" t="s">
        <v>1087</v>
      </c>
      <c r="C23" s="38" t="s">
        <v>1088</v>
      </c>
      <c r="D23" s="39"/>
      <c r="E23" s="39"/>
      <c r="F23" s="38"/>
      <c r="G23" s="38"/>
      <c r="H23" s="38"/>
      <c r="I23" s="38"/>
    </row>
    <row r="24" customFormat="false" ht="37.5" hidden="false" customHeight="true" outlineLevel="0" collapsed="false">
      <c r="A24" s="40" t="n">
        <v>20</v>
      </c>
      <c r="B24" s="41" t="s">
        <v>1089</v>
      </c>
      <c r="C24" s="42" t="s">
        <v>1090</v>
      </c>
      <c r="D24" s="39"/>
      <c r="E24" s="43"/>
      <c r="F24" s="42"/>
      <c r="G24" s="42"/>
      <c r="H24" s="42"/>
      <c r="I24" s="42"/>
    </row>
    <row r="25" customFormat="false" ht="37.5" hidden="false" customHeight="true" outlineLevel="0" collapsed="false">
      <c r="A25" s="36" t="n">
        <v>21</v>
      </c>
      <c r="B25" s="37" t="s">
        <v>1091</v>
      </c>
      <c r="C25" s="38" t="s">
        <v>1092</v>
      </c>
      <c r="D25" s="39"/>
      <c r="E25" s="39"/>
      <c r="F25" s="38"/>
      <c r="G25" s="38"/>
      <c r="H25" s="38"/>
      <c r="I25" s="38"/>
    </row>
    <row r="26" customFormat="false" ht="37.5" hidden="false" customHeight="true" outlineLevel="0" collapsed="false">
      <c r="A26" s="40" t="n">
        <v>22</v>
      </c>
      <c r="B26" s="41" t="s">
        <v>1093</v>
      </c>
      <c r="C26" s="42" t="s">
        <v>1094</v>
      </c>
      <c r="D26" s="39"/>
      <c r="E26" s="43"/>
      <c r="F26" s="42"/>
      <c r="G26" s="42"/>
      <c r="H26" s="42"/>
      <c r="I26" s="42"/>
    </row>
    <row r="27" customFormat="false" ht="37.5" hidden="false" customHeight="true" outlineLevel="0" collapsed="false">
      <c r="A27" s="36" t="n">
        <v>23</v>
      </c>
      <c r="B27" s="37" t="s">
        <v>1095</v>
      </c>
      <c r="C27" s="38" t="s">
        <v>1096</v>
      </c>
      <c r="D27" s="39"/>
      <c r="E27" s="39"/>
      <c r="F27" s="38"/>
      <c r="G27" s="38"/>
      <c r="H27" s="38"/>
      <c r="I27" s="38"/>
    </row>
    <row r="28" customFormat="false" ht="37.5" hidden="false" customHeight="true" outlineLevel="0" collapsed="false">
      <c r="A28" s="40" t="n">
        <v>24</v>
      </c>
      <c r="B28" s="41" t="s">
        <v>1097</v>
      </c>
      <c r="C28" s="42" t="s">
        <v>1098</v>
      </c>
      <c r="D28" s="39"/>
      <c r="E28" s="43"/>
      <c r="F28" s="42"/>
      <c r="G28" s="42"/>
      <c r="H28" s="42"/>
      <c r="I28" s="42"/>
    </row>
    <row r="29" customFormat="false" ht="37.5" hidden="false" customHeight="true" outlineLevel="0" collapsed="false">
      <c r="A29" s="36" t="n">
        <v>25</v>
      </c>
      <c r="B29" s="37" t="s">
        <v>1099</v>
      </c>
      <c r="C29" s="38" t="s">
        <v>1100</v>
      </c>
      <c r="D29" s="39"/>
      <c r="E29" s="39"/>
      <c r="F29" s="38"/>
      <c r="G29" s="38"/>
      <c r="H29" s="38"/>
      <c r="I29" s="38"/>
    </row>
    <row r="30" customFormat="false" ht="37.5" hidden="false" customHeight="true" outlineLevel="0" collapsed="false">
      <c r="A30" s="40" t="n">
        <v>26</v>
      </c>
      <c r="B30" s="41" t="s">
        <v>1101</v>
      </c>
      <c r="C30" s="42" t="s">
        <v>1102</v>
      </c>
      <c r="D30" s="39"/>
      <c r="E30" s="43"/>
      <c r="F30" s="42"/>
      <c r="G30" s="42"/>
      <c r="H30" s="42"/>
      <c r="I30" s="42"/>
    </row>
    <row r="31" customFormat="false" ht="37.5" hidden="false" customHeight="true" outlineLevel="0" collapsed="false">
      <c r="A31" s="36" t="n">
        <v>27</v>
      </c>
      <c r="B31" s="37" t="s">
        <v>1103</v>
      </c>
      <c r="C31" s="38" t="s">
        <v>1104</v>
      </c>
      <c r="D31" s="39"/>
      <c r="E31" s="39"/>
      <c r="F31" s="38"/>
      <c r="G31" s="38"/>
      <c r="H31" s="38"/>
      <c r="I31" s="38"/>
    </row>
    <row r="32" customFormat="false" ht="37.5" hidden="false" customHeight="true" outlineLevel="0" collapsed="false">
      <c r="A32" s="40" t="n">
        <v>28</v>
      </c>
      <c r="B32" s="41" t="s">
        <v>1105</v>
      </c>
      <c r="C32" s="42" t="s">
        <v>1106</v>
      </c>
      <c r="D32" s="39"/>
      <c r="E32" s="43"/>
      <c r="F32" s="42"/>
      <c r="G32" s="42"/>
      <c r="H32" s="42"/>
      <c r="I32" s="42"/>
    </row>
    <row r="33" customFormat="false" ht="37.5" hidden="false" customHeight="true" outlineLevel="0" collapsed="false">
      <c r="A33" s="36" t="n">
        <v>29</v>
      </c>
      <c r="B33" s="37" t="s">
        <v>1107</v>
      </c>
      <c r="C33" s="38" t="s">
        <v>1108</v>
      </c>
      <c r="D33" s="39"/>
      <c r="E33" s="39"/>
      <c r="F33" s="38"/>
      <c r="G33" s="38"/>
      <c r="H33" s="38"/>
      <c r="I33" s="38"/>
    </row>
    <row r="34" customFormat="false" ht="37.5" hidden="false" customHeight="true" outlineLevel="0" collapsed="false">
      <c r="A34" s="40" t="n">
        <v>30</v>
      </c>
      <c r="B34" s="41" t="s">
        <v>1109</v>
      </c>
      <c r="C34" s="42" t="s">
        <v>1110</v>
      </c>
      <c r="D34" s="39"/>
      <c r="E34" s="43"/>
      <c r="F34" s="42"/>
      <c r="G34" s="42"/>
      <c r="H34" s="42"/>
      <c r="I34" s="42"/>
    </row>
    <row r="35" customFormat="false" ht="37.5" hidden="false" customHeight="true" outlineLevel="0" collapsed="false">
      <c r="A35" s="36" t="n">
        <v>31</v>
      </c>
      <c r="B35" s="37" t="s">
        <v>1111</v>
      </c>
      <c r="C35" s="38" t="s">
        <v>1112</v>
      </c>
      <c r="D35" s="39"/>
      <c r="E35" s="39"/>
      <c r="F35" s="38"/>
      <c r="G35" s="38"/>
      <c r="H35" s="38"/>
      <c r="I35" s="38"/>
    </row>
    <row r="36" customFormat="false" ht="37.5" hidden="false" customHeight="true" outlineLevel="0" collapsed="false">
      <c r="A36" s="40" t="n">
        <v>32</v>
      </c>
      <c r="B36" s="41" t="s">
        <v>1113</v>
      </c>
      <c r="C36" s="42" t="s">
        <v>1114</v>
      </c>
      <c r="D36" s="39"/>
      <c r="E36" s="43"/>
      <c r="F36" s="42"/>
      <c r="G36" s="42"/>
      <c r="H36" s="42"/>
      <c r="I36" s="42"/>
    </row>
    <row r="37" customFormat="false" ht="37.5" hidden="false" customHeight="true" outlineLevel="0" collapsed="false">
      <c r="A37" s="36" t="n">
        <v>33</v>
      </c>
      <c r="B37" s="37" t="s">
        <v>1115</v>
      </c>
      <c r="C37" s="38" t="s">
        <v>1116</v>
      </c>
      <c r="D37" s="39"/>
      <c r="E37" s="39"/>
      <c r="F37" s="38"/>
      <c r="G37" s="38"/>
      <c r="H37" s="38"/>
      <c r="I37" s="38"/>
    </row>
    <row r="38" customFormat="false" ht="37.5" hidden="false" customHeight="true" outlineLevel="0" collapsed="false">
      <c r="A38" s="40" t="n">
        <v>34</v>
      </c>
      <c r="B38" s="41" t="s">
        <v>1117</v>
      </c>
      <c r="C38" s="42" t="s">
        <v>1118</v>
      </c>
      <c r="D38" s="39"/>
      <c r="E38" s="43"/>
      <c r="F38" s="42"/>
      <c r="G38" s="42"/>
      <c r="H38" s="42"/>
      <c r="I38" s="42"/>
    </row>
    <row r="39" customFormat="false" ht="37.5" hidden="false" customHeight="true" outlineLevel="0" collapsed="false">
      <c r="A39" s="36" t="n">
        <v>35</v>
      </c>
      <c r="B39" s="37" t="s">
        <v>1119</v>
      </c>
      <c r="C39" s="38" t="s">
        <v>1120</v>
      </c>
      <c r="D39" s="39"/>
      <c r="E39" s="39"/>
      <c r="F39" s="38"/>
      <c r="G39" s="38"/>
      <c r="H39" s="38"/>
      <c r="I39" s="38"/>
    </row>
    <row r="40" customFormat="false" ht="37.5" hidden="false" customHeight="true" outlineLevel="0" collapsed="false">
      <c r="A40" s="40" t="n">
        <v>36</v>
      </c>
      <c r="B40" s="41" t="s">
        <v>1121</v>
      </c>
      <c r="C40" s="42" t="s">
        <v>1122</v>
      </c>
      <c r="D40" s="39"/>
      <c r="E40" s="43"/>
      <c r="F40" s="42"/>
      <c r="G40" s="42"/>
      <c r="H40" s="42"/>
      <c r="I40" s="42"/>
    </row>
    <row r="41" customFormat="false" ht="37.5" hidden="false" customHeight="true" outlineLevel="0" collapsed="false">
      <c r="A41" s="36" t="n">
        <v>37</v>
      </c>
      <c r="B41" s="37" t="s">
        <v>1123</v>
      </c>
      <c r="C41" s="38" t="s">
        <v>1124</v>
      </c>
      <c r="D41" s="39"/>
      <c r="E41" s="39"/>
      <c r="F41" s="38"/>
      <c r="G41" s="38"/>
      <c r="H41" s="38"/>
      <c r="I41" s="38"/>
    </row>
    <row r="42" customFormat="false" ht="37.5" hidden="false" customHeight="true" outlineLevel="0" collapsed="false">
      <c r="A42" s="40" t="n">
        <v>38</v>
      </c>
      <c r="B42" s="41" t="s">
        <v>1125</v>
      </c>
      <c r="C42" s="42" t="s">
        <v>1126</v>
      </c>
      <c r="D42" s="39"/>
      <c r="E42" s="43"/>
      <c r="F42" s="42"/>
      <c r="G42" s="42"/>
      <c r="H42" s="42"/>
      <c r="I42" s="42"/>
    </row>
    <row r="43" customFormat="false" ht="37.5" hidden="false" customHeight="true" outlineLevel="0" collapsed="false">
      <c r="A43" s="36" t="n">
        <v>39</v>
      </c>
      <c r="B43" s="37" t="s">
        <v>1127</v>
      </c>
      <c r="C43" s="38" t="s">
        <v>1128</v>
      </c>
      <c r="D43" s="39"/>
      <c r="E43" s="39"/>
      <c r="F43" s="38"/>
      <c r="G43" s="38"/>
      <c r="H43" s="38"/>
      <c r="I43" s="38"/>
    </row>
    <row r="44" customFormat="false" ht="37.5" hidden="false" customHeight="true" outlineLevel="0" collapsed="false">
      <c r="A44" s="40" t="n">
        <v>40</v>
      </c>
      <c r="B44" s="41" t="s">
        <v>1129</v>
      </c>
      <c r="C44" s="42" t="s">
        <v>1130</v>
      </c>
      <c r="D44" s="39"/>
      <c r="E44" s="43"/>
      <c r="F44" s="42"/>
      <c r="G44" s="42"/>
      <c r="H44" s="42"/>
      <c r="I44" s="42"/>
    </row>
    <row r="45" customFormat="false" ht="37.5" hidden="false" customHeight="true" outlineLevel="0" collapsed="false">
      <c r="A45" s="36" t="n">
        <v>41</v>
      </c>
      <c r="B45" s="37" t="s">
        <v>1131</v>
      </c>
      <c r="C45" s="38" t="s">
        <v>1132</v>
      </c>
      <c r="D45" s="39"/>
      <c r="E45" s="39"/>
      <c r="F45" s="38"/>
      <c r="G45" s="38"/>
      <c r="H45" s="38"/>
      <c r="I45" s="38"/>
    </row>
    <row r="46" customFormat="false" ht="37.5" hidden="false" customHeight="true" outlineLevel="0" collapsed="false">
      <c r="A46" s="40" t="n">
        <v>42</v>
      </c>
      <c r="B46" s="41" t="s">
        <v>1133</v>
      </c>
      <c r="C46" s="42" t="s">
        <v>1134</v>
      </c>
      <c r="D46" s="39"/>
      <c r="E46" s="43"/>
      <c r="F46" s="42"/>
      <c r="G46" s="42"/>
      <c r="H46" s="42"/>
      <c r="I46" s="42"/>
    </row>
    <row r="47" customFormat="false" ht="37.5" hidden="false" customHeight="true" outlineLevel="0" collapsed="false">
      <c r="A47" s="36" t="n">
        <v>43</v>
      </c>
      <c r="B47" s="37" t="s">
        <v>1135</v>
      </c>
      <c r="C47" s="38" t="s">
        <v>1136</v>
      </c>
      <c r="D47" s="39"/>
      <c r="E47" s="39"/>
      <c r="F47" s="38"/>
      <c r="G47" s="38"/>
      <c r="H47" s="38"/>
      <c r="I47" s="38"/>
    </row>
    <row r="48" customFormat="false" ht="37.5" hidden="false" customHeight="true" outlineLevel="0" collapsed="false">
      <c r="A48" s="40" t="n">
        <v>44</v>
      </c>
      <c r="B48" s="41" t="s">
        <v>1137</v>
      </c>
      <c r="C48" s="42" t="s">
        <v>1138</v>
      </c>
      <c r="D48" s="39"/>
      <c r="E48" s="43"/>
      <c r="F48" s="42"/>
      <c r="G48" s="42"/>
      <c r="H48" s="42"/>
      <c r="I48" s="42"/>
    </row>
    <row r="49" customFormat="false" ht="37.5" hidden="false" customHeight="true" outlineLevel="0" collapsed="false">
      <c r="A49" s="36" t="n">
        <v>45</v>
      </c>
      <c r="B49" s="37" t="s">
        <v>1139</v>
      </c>
      <c r="C49" s="38" t="s">
        <v>1140</v>
      </c>
      <c r="D49" s="39"/>
      <c r="E49" s="39"/>
      <c r="F49" s="38"/>
      <c r="G49" s="38"/>
      <c r="H49" s="38"/>
      <c r="I49" s="38"/>
    </row>
    <row r="50" customFormat="false" ht="37.5" hidden="false" customHeight="true" outlineLevel="0" collapsed="false">
      <c r="A50" s="40" t="n">
        <v>46</v>
      </c>
      <c r="B50" s="41" t="s">
        <v>1141</v>
      </c>
      <c r="C50" s="42" t="s">
        <v>1142</v>
      </c>
      <c r="D50" s="39"/>
      <c r="E50" s="43"/>
      <c r="F50" s="42"/>
      <c r="G50" s="42"/>
      <c r="H50" s="42"/>
      <c r="I50" s="42"/>
    </row>
    <row r="51" customFormat="false" ht="37.5" hidden="false" customHeight="true" outlineLevel="0" collapsed="false">
      <c r="A51" s="36" t="n">
        <v>47</v>
      </c>
      <c r="B51" s="37" t="s">
        <v>1143</v>
      </c>
      <c r="C51" s="38" t="s">
        <v>1144</v>
      </c>
      <c r="D51" s="39"/>
      <c r="E51" s="39"/>
      <c r="F51" s="38"/>
      <c r="G51" s="38"/>
      <c r="H51" s="38"/>
      <c r="I51" s="38"/>
    </row>
    <row r="52" customFormat="false" ht="37.5" hidden="false" customHeight="true" outlineLevel="0" collapsed="false">
      <c r="A52" s="40" t="n">
        <v>48</v>
      </c>
      <c r="B52" s="41" t="s">
        <v>1145</v>
      </c>
      <c r="C52" s="42" t="s">
        <v>1146</v>
      </c>
      <c r="D52" s="39"/>
      <c r="E52" s="43"/>
      <c r="F52" s="42"/>
      <c r="G52" s="42"/>
      <c r="H52" s="42"/>
      <c r="I52" s="42"/>
    </row>
    <row r="53" customFormat="false" ht="37.5" hidden="false" customHeight="true" outlineLevel="0" collapsed="false">
      <c r="A53" s="36" t="n">
        <v>49</v>
      </c>
      <c r="B53" s="37" t="s">
        <v>1147</v>
      </c>
      <c r="C53" s="38" t="s">
        <v>1148</v>
      </c>
      <c r="D53" s="39"/>
      <c r="E53" s="39"/>
      <c r="F53" s="38"/>
      <c r="G53" s="38"/>
      <c r="H53" s="38"/>
      <c r="I53" s="38"/>
    </row>
    <row r="54" customFormat="false" ht="37.5" hidden="false" customHeight="true" outlineLevel="0" collapsed="false">
      <c r="A54" s="40" t="n">
        <v>50</v>
      </c>
      <c r="B54" s="41" t="s">
        <v>1149</v>
      </c>
      <c r="C54" s="42" t="s">
        <v>1150</v>
      </c>
      <c r="D54" s="39"/>
      <c r="E54" s="43"/>
      <c r="F54" s="42"/>
      <c r="G54" s="42"/>
      <c r="H54" s="42"/>
      <c r="I54" s="42"/>
    </row>
    <row r="55" customFormat="false" ht="37.5" hidden="false" customHeight="true" outlineLevel="0" collapsed="false">
      <c r="A55" s="36" t="n">
        <v>51</v>
      </c>
      <c r="B55" s="37" t="s">
        <v>1151</v>
      </c>
      <c r="C55" s="38" t="s">
        <v>1152</v>
      </c>
      <c r="D55" s="39"/>
      <c r="E55" s="39"/>
      <c r="F55" s="38"/>
      <c r="G55" s="38"/>
      <c r="H55" s="38"/>
      <c r="I55" s="38"/>
    </row>
    <row r="56" customFormat="false" ht="37.5" hidden="false" customHeight="true" outlineLevel="0" collapsed="false">
      <c r="A56" s="40" t="n">
        <v>52</v>
      </c>
      <c r="B56" s="41" t="s">
        <v>1153</v>
      </c>
      <c r="C56" s="42" t="s">
        <v>1154</v>
      </c>
      <c r="D56" s="39"/>
      <c r="E56" s="43"/>
      <c r="F56" s="42"/>
      <c r="G56" s="42"/>
      <c r="H56" s="42"/>
      <c r="I56" s="42"/>
    </row>
    <row r="57" customFormat="false" ht="37.5" hidden="false" customHeight="true" outlineLevel="0" collapsed="false">
      <c r="A57" s="36" t="n">
        <v>53</v>
      </c>
      <c r="B57" s="37" t="s">
        <v>1155</v>
      </c>
      <c r="C57" s="38" t="s">
        <v>1156</v>
      </c>
      <c r="D57" s="39"/>
      <c r="E57" s="39"/>
      <c r="F57" s="38"/>
      <c r="G57" s="38"/>
      <c r="H57" s="38"/>
      <c r="I57" s="38"/>
    </row>
    <row r="58" customFormat="false" ht="37.5" hidden="false" customHeight="true" outlineLevel="0" collapsed="false">
      <c r="A58" s="40" t="n">
        <v>54</v>
      </c>
      <c r="B58" s="41" t="s">
        <v>1157</v>
      </c>
      <c r="C58" s="42" t="s">
        <v>1158</v>
      </c>
      <c r="D58" s="39"/>
      <c r="E58" s="43"/>
      <c r="F58" s="42"/>
      <c r="G58" s="42"/>
      <c r="H58" s="42"/>
      <c r="I58" s="42"/>
    </row>
    <row r="59" customFormat="false" ht="37.5" hidden="false" customHeight="true" outlineLevel="0" collapsed="false">
      <c r="A59" s="36" t="n">
        <v>55</v>
      </c>
      <c r="B59" s="37" t="s">
        <v>1159</v>
      </c>
      <c r="C59" s="38" t="s">
        <v>1160</v>
      </c>
      <c r="D59" s="39"/>
      <c r="E59" s="39"/>
      <c r="F59" s="38"/>
      <c r="G59" s="38"/>
      <c r="H59" s="38"/>
      <c r="I59" s="38"/>
    </row>
    <row r="60" customFormat="false" ht="37.5" hidden="false" customHeight="true" outlineLevel="0" collapsed="false">
      <c r="A60" s="40" t="n">
        <v>56</v>
      </c>
      <c r="B60" s="41" t="s">
        <v>1161</v>
      </c>
      <c r="C60" s="42" t="s">
        <v>1162</v>
      </c>
      <c r="D60" s="39"/>
      <c r="E60" s="43"/>
      <c r="F60" s="42"/>
      <c r="G60" s="42"/>
      <c r="H60" s="42"/>
      <c r="I60" s="42"/>
    </row>
    <row r="61" customFormat="false" ht="37.5" hidden="false" customHeight="true" outlineLevel="0" collapsed="false">
      <c r="A61" s="36" t="n">
        <v>57</v>
      </c>
      <c r="B61" s="37" t="s">
        <v>1163</v>
      </c>
      <c r="C61" s="38" t="s">
        <v>1164</v>
      </c>
      <c r="D61" s="39"/>
      <c r="E61" s="39"/>
      <c r="F61" s="38"/>
      <c r="G61" s="38"/>
      <c r="H61" s="38"/>
      <c r="I61" s="38"/>
    </row>
    <row r="62" customFormat="false" ht="37.5" hidden="false" customHeight="true" outlineLevel="0" collapsed="false">
      <c r="A62" s="40" t="n">
        <v>58</v>
      </c>
      <c r="B62" s="41" t="s">
        <v>1165</v>
      </c>
      <c r="C62" s="42" t="s">
        <v>1166</v>
      </c>
      <c r="D62" s="39"/>
      <c r="E62" s="43"/>
      <c r="F62" s="42"/>
      <c r="G62" s="42"/>
      <c r="H62" s="42"/>
      <c r="I62" s="42"/>
    </row>
    <row r="63" customFormat="false" ht="37.5" hidden="false" customHeight="true" outlineLevel="0" collapsed="false">
      <c r="A63" s="36" t="n">
        <v>59</v>
      </c>
      <c r="B63" s="37" t="s">
        <v>1167</v>
      </c>
      <c r="C63" s="38" t="s">
        <v>1168</v>
      </c>
      <c r="D63" s="39"/>
      <c r="E63" s="39"/>
      <c r="F63" s="38"/>
      <c r="G63" s="38"/>
      <c r="H63" s="38"/>
      <c r="I63" s="38"/>
    </row>
    <row r="64" customFormat="false" ht="37.5" hidden="false" customHeight="true" outlineLevel="0" collapsed="false">
      <c r="A64" s="40" t="n">
        <v>60</v>
      </c>
      <c r="B64" s="41" t="s">
        <v>1169</v>
      </c>
      <c r="C64" s="42" t="s">
        <v>1170</v>
      </c>
      <c r="D64" s="39"/>
      <c r="E64" s="43"/>
      <c r="F64" s="42"/>
      <c r="G64" s="42"/>
      <c r="H64" s="42"/>
      <c r="I64" s="42"/>
    </row>
    <row r="65" customFormat="false" ht="37.5" hidden="false" customHeight="true" outlineLevel="0" collapsed="false">
      <c r="A65" s="36" t="n">
        <v>61</v>
      </c>
      <c r="B65" s="37" t="s">
        <v>1171</v>
      </c>
      <c r="C65" s="38" t="s">
        <v>1172</v>
      </c>
      <c r="D65" s="39"/>
      <c r="E65" s="39"/>
      <c r="F65" s="38"/>
      <c r="G65" s="38"/>
      <c r="H65" s="38"/>
      <c r="I65" s="38"/>
    </row>
    <row r="66" customFormat="false" ht="37.5" hidden="false" customHeight="true" outlineLevel="0" collapsed="false">
      <c r="A66" s="40" t="n">
        <v>62</v>
      </c>
      <c r="B66" s="41" t="s">
        <v>1173</v>
      </c>
      <c r="C66" s="42" t="s">
        <v>1174</v>
      </c>
      <c r="D66" s="39"/>
      <c r="E66" s="43"/>
      <c r="F66" s="42"/>
      <c r="G66" s="42"/>
      <c r="H66" s="42"/>
      <c r="I66" s="42"/>
    </row>
    <row r="67" customFormat="false" ht="37.5" hidden="false" customHeight="true" outlineLevel="0" collapsed="false">
      <c r="A67" s="36" t="n">
        <v>63</v>
      </c>
      <c r="B67" s="37" t="s">
        <v>1175</v>
      </c>
      <c r="C67" s="38" t="s">
        <v>1176</v>
      </c>
      <c r="D67" s="39"/>
      <c r="E67" s="39"/>
      <c r="F67" s="38"/>
      <c r="G67" s="38"/>
      <c r="H67" s="38"/>
      <c r="I67" s="38"/>
    </row>
    <row r="68" customFormat="false" ht="37.5" hidden="false" customHeight="true" outlineLevel="0" collapsed="false">
      <c r="A68" s="40" t="n">
        <v>64</v>
      </c>
      <c r="B68" s="41" t="s">
        <v>1177</v>
      </c>
      <c r="C68" s="42" t="s">
        <v>1178</v>
      </c>
      <c r="D68" s="39"/>
      <c r="E68" s="43"/>
      <c r="F68" s="42"/>
      <c r="G68" s="42"/>
      <c r="H68" s="42"/>
      <c r="I68" s="42"/>
    </row>
    <row r="69" customFormat="false" ht="37.5" hidden="false" customHeight="true" outlineLevel="0" collapsed="false">
      <c r="A69" s="36" t="n">
        <v>65</v>
      </c>
      <c r="B69" s="37" t="s">
        <v>1179</v>
      </c>
      <c r="C69" s="38" t="s">
        <v>1180</v>
      </c>
      <c r="D69" s="39"/>
      <c r="E69" s="39"/>
      <c r="F69" s="38"/>
      <c r="G69" s="38"/>
      <c r="H69" s="38"/>
      <c r="I69" s="38"/>
    </row>
    <row r="70" customFormat="false" ht="37.5" hidden="false" customHeight="true" outlineLevel="0" collapsed="false">
      <c r="A70" s="40" t="n">
        <v>66</v>
      </c>
      <c r="B70" s="41" t="s">
        <v>1181</v>
      </c>
      <c r="C70" s="42" t="s">
        <v>1182</v>
      </c>
      <c r="D70" s="39"/>
      <c r="E70" s="43"/>
      <c r="F70" s="42"/>
      <c r="G70" s="42"/>
      <c r="H70" s="42"/>
      <c r="I70" s="42"/>
    </row>
    <row r="71" customFormat="false" ht="37.5" hidden="false" customHeight="true" outlineLevel="0" collapsed="false">
      <c r="A71" s="36" t="n">
        <v>67</v>
      </c>
      <c r="B71" s="37" t="s">
        <v>1183</v>
      </c>
      <c r="C71" s="38" t="s">
        <v>1184</v>
      </c>
      <c r="D71" s="39"/>
      <c r="E71" s="39"/>
      <c r="F71" s="38"/>
      <c r="G71" s="38"/>
      <c r="H71" s="38"/>
      <c r="I71" s="38"/>
    </row>
    <row r="72" customFormat="false" ht="37.5" hidden="false" customHeight="true" outlineLevel="0" collapsed="false">
      <c r="A72" s="40" t="n">
        <v>68</v>
      </c>
      <c r="B72" s="41" t="s">
        <v>1185</v>
      </c>
      <c r="C72" s="42" t="s">
        <v>1186</v>
      </c>
      <c r="D72" s="39"/>
      <c r="E72" s="43"/>
      <c r="F72" s="42"/>
      <c r="G72" s="42"/>
      <c r="H72" s="42"/>
      <c r="I72" s="42"/>
    </row>
    <row r="73" customFormat="false" ht="37.5" hidden="false" customHeight="true" outlineLevel="0" collapsed="false">
      <c r="A73" s="36" t="n">
        <v>69</v>
      </c>
      <c r="B73" s="37" t="s">
        <v>1187</v>
      </c>
      <c r="C73" s="38" t="s">
        <v>1188</v>
      </c>
      <c r="D73" s="39"/>
      <c r="E73" s="39"/>
      <c r="F73" s="38"/>
      <c r="G73" s="38"/>
      <c r="H73" s="38"/>
      <c r="I73" s="38"/>
    </row>
    <row r="74" customFormat="false" ht="37.5" hidden="false" customHeight="true" outlineLevel="0" collapsed="false">
      <c r="A74" s="40" t="n">
        <v>70</v>
      </c>
      <c r="B74" s="41" t="s">
        <v>1189</v>
      </c>
      <c r="C74" s="42" t="s">
        <v>1190</v>
      </c>
      <c r="D74" s="39"/>
      <c r="E74" s="43"/>
      <c r="F74" s="42"/>
      <c r="G74" s="42"/>
      <c r="H74" s="42"/>
      <c r="I74" s="42"/>
    </row>
    <row r="75" customFormat="false" ht="37.5" hidden="false" customHeight="true" outlineLevel="0" collapsed="false">
      <c r="A75" s="36" t="n">
        <v>71</v>
      </c>
      <c r="B75" s="37" t="s">
        <v>1191</v>
      </c>
      <c r="C75" s="38" t="s">
        <v>1192</v>
      </c>
      <c r="D75" s="39"/>
      <c r="E75" s="39"/>
      <c r="F75" s="38"/>
      <c r="G75" s="38"/>
      <c r="H75" s="38"/>
      <c r="I75" s="38"/>
    </row>
    <row r="76" customFormat="false" ht="37.5" hidden="false" customHeight="true" outlineLevel="0" collapsed="false">
      <c r="A76" s="40" t="n">
        <v>72</v>
      </c>
      <c r="B76" s="41" t="s">
        <v>1193</v>
      </c>
      <c r="C76" s="42" t="s">
        <v>1194</v>
      </c>
      <c r="D76" s="39"/>
      <c r="E76" s="43"/>
      <c r="F76" s="42"/>
      <c r="G76" s="42"/>
      <c r="H76" s="42"/>
      <c r="I76" s="42"/>
    </row>
    <row r="77" customFormat="false" ht="37.5" hidden="false" customHeight="true" outlineLevel="0" collapsed="false">
      <c r="A77" s="36" t="n">
        <v>73</v>
      </c>
      <c r="B77" s="37" t="s">
        <v>1195</v>
      </c>
      <c r="C77" s="38" t="s">
        <v>1196</v>
      </c>
      <c r="D77" s="39"/>
      <c r="E77" s="39"/>
      <c r="F77" s="38"/>
      <c r="G77" s="38"/>
      <c r="H77" s="38"/>
      <c r="I77" s="38"/>
    </row>
    <row r="78" customFormat="false" ht="37.5" hidden="false" customHeight="true" outlineLevel="0" collapsed="false">
      <c r="A78" s="40" t="n">
        <v>74</v>
      </c>
      <c r="B78" s="41" t="s">
        <v>1197</v>
      </c>
      <c r="C78" s="42" t="s">
        <v>1198</v>
      </c>
      <c r="D78" s="39"/>
      <c r="E78" s="43"/>
      <c r="F78" s="42"/>
      <c r="G78" s="42"/>
      <c r="H78" s="42"/>
      <c r="I78" s="42"/>
    </row>
    <row r="79" customFormat="false" ht="37.5" hidden="false" customHeight="true" outlineLevel="0" collapsed="false">
      <c r="A79" s="36" t="n">
        <v>75</v>
      </c>
      <c r="B79" s="37" t="s">
        <v>1199</v>
      </c>
      <c r="C79" s="38" t="s">
        <v>1200</v>
      </c>
      <c r="D79" s="39"/>
      <c r="E79" s="39"/>
      <c r="F79" s="38"/>
      <c r="G79" s="38"/>
      <c r="H79" s="38"/>
      <c r="I79" s="38"/>
    </row>
    <row r="80" customFormat="false" ht="37.5" hidden="false" customHeight="true" outlineLevel="0" collapsed="false">
      <c r="A80" s="40" t="n">
        <v>76</v>
      </c>
      <c r="B80" s="41" t="s">
        <v>1201</v>
      </c>
      <c r="C80" s="42" t="s">
        <v>1202</v>
      </c>
      <c r="D80" s="39"/>
      <c r="E80" s="43"/>
      <c r="F80" s="42"/>
      <c r="G80" s="42"/>
      <c r="H80" s="42"/>
      <c r="I80" s="42"/>
    </row>
    <row r="81" customFormat="false" ht="37.5" hidden="false" customHeight="true" outlineLevel="0" collapsed="false">
      <c r="A81" s="36" t="n">
        <v>77</v>
      </c>
      <c r="B81" s="37" t="s">
        <v>1203</v>
      </c>
      <c r="C81" s="38" t="s">
        <v>1204</v>
      </c>
      <c r="D81" s="39"/>
      <c r="E81" s="39"/>
      <c r="F81" s="38"/>
      <c r="G81" s="38"/>
      <c r="H81" s="38"/>
      <c r="I81" s="38"/>
    </row>
    <row r="82" customFormat="false" ht="37.5" hidden="false" customHeight="true" outlineLevel="0" collapsed="false">
      <c r="A82" s="40" t="n">
        <v>78</v>
      </c>
      <c r="B82" s="41" t="s">
        <v>1205</v>
      </c>
      <c r="C82" s="42" t="s">
        <v>1206</v>
      </c>
      <c r="D82" s="39"/>
      <c r="E82" s="43"/>
      <c r="F82" s="42"/>
      <c r="G82" s="42"/>
      <c r="H82" s="42"/>
      <c r="I82" s="42"/>
    </row>
    <row r="83" customFormat="false" ht="37.5" hidden="false" customHeight="true" outlineLevel="0" collapsed="false">
      <c r="A83" s="36" t="n">
        <v>79</v>
      </c>
      <c r="B83" s="37" t="s">
        <v>1207</v>
      </c>
      <c r="C83" s="38" t="s">
        <v>1208</v>
      </c>
      <c r="D83" s="39"/>
      <c r="E83" s="39"/>
      <c r="F83" s="38"/>
      <c r="G83" s="38"/>
      <c r="H83" s="38"/>
      <c r="I83" s="38"/>
    </row>
    <row r="84" customFormat="false" ht="37.5" hidden="false" customHeight="true" outlineLevel="0" collapsed="false">
      <c r="A84" s="40" t="n">
        <v>80</v>
      </c>
      <c r="B84" s="41" t="s">
        <v>1209</v>
      </c>
      <c r="C84" s="42" t="s">
        <v>1210</v>
      </c>
      <c r="D84" s="39"/>
      <c r="E84" s="43"/>
      <c r="F84" s="42"/>
      <c r="G84" s="42"/>
      <c r="H84" s="42"/>
      <c r="I84" s="42"/>
    </row>
    <row r="85" customFormat="false" ht="37.5" hidden="false" customHeight="true" outlineLevel="0" collapsed="false">
      <c r="A85" s="36" t="n">
        <v>81</v>
      </c>
      <c r="B85" s="37" t="s">
        <v>1211</v>
      </c>
      <c r="C85" s="38" t="s">
        <v>1212</v>
      </c>
      <c r="D85" s="39"/>
      <c r="E85" s="39"/>
      <c r="F85" s="38"/>
      <c r="G85" s="38"/>
      <c r="H85" s="38"/>
      <c r="I85" s="38"/>
    </row>
    <row r="86" customFormat="false" ht="37.5" hidden="false" customHeight="true" outlineLevel="0" collapsed="false">
      <c r="A86" s="40" t="n">
        <v>82</v>
      </c>
      <c r="B86" s="41" t="s">
        <v>1213</v>
      </c>
      <c r="C86" s="42" t="s">
        <v>1214</v>
      </c>
      <c r="D86" s="39"/>
      <c r="E86" s="43"/>
      <c r="F86" s="42"/>
      <c r="G86" s="42"/>
      <c r="H86" s="42"/>
      <c r="I86" s="42"/>
    </row>
    <row r="87" customFormat="false" ht="37.5" hidden="false" customHeight="true" outlineLevel="0" collapsed="false">
      <c r="A87" s="36" t="n">
        <v>83</v>
      </c>
      <c r="B87" s="37" t="s">
        <v>1215</v>
      </c>
      <c r="C87" s="38" t="s">
        <v>1216</v>
      </c>
      <c r="D87" s="39"/>
      <c r="E87" s="39"/>
      <c r="F87" s="38"/>
      <c r="G87" s="38"/>
      <c r="H87" s="38"/>
      <c r="I87" s="38"/>
    </row>
    <row r="88" customFormat="false" ht="37.5" hidden="false" customHeight="true" outlineLevel="0" collapsed="false">
      <c r="A88" s="40" t="n">
        <v>84</v>
      </c>
      <c r="B88" s="41" t="s">
        <v>1217</v>
      </c>
      <c r="C88" s="42" t="s">
        <v>1218</v>
      </c>
      <c r="D88" s="39"/>
      <c r="E88" s="43"/>
      <c r="F88" s="42"/>
      <c r="G88" s="42"/>
      <c r="H88" s="42"/>
      <c r="I88" s="42"/>
    </row>
    <row r="89" customFormat="false" ht="37.5" hidden="false" customHeight="true" outlineLevel="0" collapsed="false">
      <c r="A89" s="36" t="n">
        <v>85</v>
      </c>
      <c r="B89" s="37" t="s">
        <v>1219</v>
      </c>
      <c r="C89" s="38" t="s">
        <v>1220</v>
      </c>
      <c r="D89" s="39"/>
      <c r="E89" s="39"/>
      <c r="F89" s="38"/>
      <c r="G89" s="38"/>
      <c r="H89" s="38"/>
      <c r="I89" s="38"/>
    </row>
    <row r="90" customFormat="false" ht="37.5" hidden="false" customHeight="true" outlineLevel="0" collapsed="false">
      <c r="A90" s="40" t="n">
        <v>86</v>
      </c>
      <c r="B90" s="41" t="s">
        <v>1221</v>
      </c>
      <c r="C90" s="42" t="s">
        <v>1222</v>
      </c>
      <c r="D90" s="39"/>
      <c r="E90" s="43"/>
      <c r="F90" s="42"/>
      <c r="G90" s="42"/>
      <c r="H90" s="42"/>
      <c r="I90" s="42"/>
    </row>
    <row r="91" customFormat="false" ht="37.5" hidden="false" customHeight="true" outlineLevel="0" collapsed="false">
      <c r="A91" s="36" t="n">
        <v>87</v>
      </c>
      <c r="B91" s="37" t="s">
        <v>1223</v>
      </c>
      <c r="C91" s="38" t="s">
        <v>1224</v>
      </c>
      <c r="D91" s="39"/>
      <c r="E91" s="39"/>
      <c r="F91" s="38"/>
      <c r="G91" s="38"/>
      <c r="H91" s="38"/>
      <c r="I91" s="38"/>
    </row>
    <row r="92" customFormat="false" ht="37.5" hidden="false" customHeight="true" outlineLevel="0" collapsed="false">
      <c r="A92" s="40" t="n">
        <v>88</v>
      </c>
      <c r="B92" s="41" t="s">
        <v>1225</v>
      </c>
      <c r="C92" s="42" t="s">
        <v>1226</v>
      </c>
      <c r="D92" s="39"/>
      <c r="E92" s="43"/>
      <c r="F92" s="42"/>
      <c r="G92" s="42"/>
      <c r="H92" s="42"/>
      <c r="I92" s="42"/>
    </row>
    <row r="93" customFormat="false" ht="37.5" hidden="false" customHeight="true" outlineLevel="0" collapsed="false">
      <c r="A93" s="36" t="n">
        <v>89</v>
      </c>
      <c r="B93" s="37" t="s">
        <v>1227</v>
      </c>
      <c r="C93" s="38" t="s">
        <v>1228</v>
      </c>
      <c r="D93" s="39"/>
      <c r="E93" s="39"/>
      <c r="F93" s="38"/>
      <c r="G93" s="38"/>
      <c r="H93" s="38"/>
      <c r="I93" s="38"/>
    </row>
    <row r="94" customFormat="false" ht="37.5" hidden="false" customHeight="true" outlineLevel="0" collapsed="false">
      <c r="A94" s="40" t="n">
        <v>90</v>
      </c>
      <c r="B94" s="41" t="s">
        <v>1229</v>
      </c>
      <c r="C94" s="42" t="s">
        <v>1230</v>
      </c>
      <c r="D94" s="39"/>
      <c r="E94" s="43"/>
      <c r="F94" s="42"/>
      <c r="G94" s="42"/>
      <c r="H94" s="42"/>
      <c r="I94" s="42"/>
    </row>
    <row r="95" customFormat="false" ht="37.5" hidden="false" customHeight="true" outlineLevel="0" collapsed="false">
      <c r="A95" s="36" t="n">
        <v>91</v>
      </c>
      <c r="B95" s="37" t="s">
        <v>1231</v>
      </c>
      <c r="C95" s="38" t="s">
        <v>1232</v>
      </c>
      <c r="D95" s="39"/>
      <c r="E95" s="39"/>
      <c r="F95" s="38"/>
      <c r="G95" s="38"/>
      <c r="H95" s="38"/>
      <c r="I95" s="38"/>
    </row>
    <row r="96" customFormat="false" ht="37.5" hidden="false" customHeight="true" outlineLevel="0" collapsed="false">
      <c r="A96" s="40" t="n">
        <v>92</v>
      </c>
      <c r="B96" s="41" t="s">
        <v>1233</v>
      </c>
      <c r="C96" s="42" t="s">
        <v>1234</v>
      </c>
      <c r="D96" s="39"/>
      <c r="E96" s="43"/>
      <c r="F96" s="42"/>
      <c r="G96" s="42"/>
      <c r="H96" s="42"/>
      <c r="I96" s="42"/>
    </row>
    <row r="97" customFormat="false" ht="37.5" hidden="false" customHeight="true" outlineLevel="0" collapsed="false">
      <c r="A97" s="36" t="n">
        <v>93</v>
      </c>
      <c r="B97" s="37" t="s">
        <v>1235</v>
      </c>
      <c r="C97" s="38" t="s">
        <v>1236</v>
      </c>
      <c r="D97" s="39"/>
      <c r="E97" s="39"/>
      <c r="F97" s="38"/>
      <c r="G97" s="38"/>
      <c r="H97" s="38"/>
      <c r="I97" s="38"/>
    </row>
    <row r="98" customFormat="false" ht="37.5" hidden="false" customHeight="true" outlineLevel="0" collapsed="false">
      <c r="A98" s="40" t="n">
        <v>94</v>
      </c>
      <c r="B98" s="41" t="s">
        <v>1237</v>
      </c>
      <c r="C98" s="42" t="s">
        <v>1238</v>
      </c>
      <c r="D98" s="39"/>
      <c r="E98" s="43"/>
      <c r="F98" s="42"/>
      <c r="G98" s="42"/>
      <c r="H98" s="42"/>
      <c r="I98" s="42"/>
    </row>
    <row r="99" customFormat="false" ht="37.5" hidden="false" customHeight="true" outlineLevel="0" collapsed="false">
      <c r="A99" s="36" t="n">
        <v>95</v>
      </c>
      <c r="B99" s="37" t="s">
        <v>1239</v>
      </c>
      <c r="C99" s="38" t="s">
        <v>1240</v>
      </c>
      <c r="D99" s="39"/>
      <c r="E99" s="39"/>
      <c r="F99" s="38"/>
      <c r="G99" s="38"/>
      <c r="H99" s="38"/>
      <c r="I99" s="38"/>
    </row>
    <row r="100" customFormat="false" ht="37.5" hidden="false" customHeight="true" outlineLevel="0" collapsed="false">
      <c r="A100" s="40" t="n">
        <v>96</v>
      </c>
      <c r="B100" s="41" t="s">
        <v>1241</v>
      </c>
      <c r="C100" s="42" t="s">
        <v>1242</v>
      </c>
      <c r="D100" s="39"/>
      <c r="E100" s="43"/>
      <c r="F100" s="42"/>
      <c r="G100" s="42"/>
      <c r="H100" s="42"/>
      <c r="I100" s="42"/>
    </row>
    <row r="101" customFormat="false" ht="37.5" hidden="false" customHeight="true" outlineLevel="0" collapsed="false">
      <c r="A101" s="36" t="n">
        <v>97</v>
      </c>
      <c r="B101" s="37" t="s">
        <v>1243</v>
      </c>
      <c r="C101" s="38" t="s">
        <v>1244</v>
      </c>
      <c r="D101" s="39"/>
      <c r="E101" s="39"/>
      <c r="F101" s="38"/>
      <c r="G101" s="38"/>
      <c r="H101" s="38"/>
      <c r="I101" s="38"/>
    </row>
    <row r="102" customFormat="false" ht="37.5" hidden="false" customHeight="true" outlineLevel="0" collapsed="false">
      <c r="A102" s="40" t="n">
        <v>98</v>
      </c>
      <c r="B102" s="41" t="s">
        <v>1245</v>
      </c>
      <c r="C102" s="42" t="s">
        <v>1246</v>
      </c>
      <c r="D102" s="39"/>
      <c r="E102" s="43"/>
      <c r="F102" s="42"/>
      <c r="G102" s="42"/>
      <c r="H102" s="42"/>
      <c r="I102" s="42"/>
    </row>
    <row r="103" customFormat="false" ht="37.5" hidden="false" customHeight="true" outlineLevel="0" collapsed="false">
      <c r="A103" s="36" t="n">
        <v>99</v>
      </c>
      <c r="B103" s="37" t="s">
        <v>1247</v>
      </c>
      <c r="C103" s="38" t="s">
        <v>1248</v>
      </c>
      <c r="D103" s="39"/>
      <c r="E103" s="39"/>
      <c r="F103" s="38"/>
      <c r="G103" s="38"/>
      <c r="H103" s="38"/>
      <c r="I103" s="38"/>
    </row>
    <row r="104" customFormat="false" ht="37.5" hidden="false" customHeight="true" outlineLevel="0" collapsed="false">
      <c r="A104" s="40" t="n">
        <v>100</v>
      </c>
      <c r="B104" s="41" t="s">
        <v>1249</v>
      </c>
      <c r="C104" s="42" t="s">
        <v>1250</v>
      </c>
      <c r="D104" s="39"/>
      <c r="E104" s="43"/>
      <c r="F104" s="42"/>
      <c r="G104" s="42"/>
      <c r="H104" s="42"/>
      <c r="I104" s="42"/>
    </row>
    <row r="105" customFormat="false" ht="37.5" hidden="false" customHeight="true" outlineLevel="0" collapsed="false">
      <c r="A105" s="36" t="n">
        <v>101</v>
      </c>
      <c r="B105" s="37" t="s">
        <v>1251</v>
      </c>
      <c r="C105" s="38" t="s">
        <v>1252</v>
      </c>
      <c r="D105" s="39"/>
      <c r="E105" s="39"/>
      <c r="F105" s="38"/>
      <c r="G105" s="38"/>
      <c r="H105" s="38"/>
      <c r="I105" s="38"/>
    </row>
    <row r="106" customFormat="false" ht="37.5" hidden="false" customHeight="true" outlineLevel="0" collapsed="false">
      <c r="A106" s="40" t="n">
        <v>102</v>
      </c>
      <c r="B106" s="41" t="s">
        <v>1253</v>
      </c>
      <c r="C106" s="42" t="s">
        <v>1254</v>
      </c>
      <c r="D106" s="39"/>
      <c r="E106" s="43"/>
      <c r="F106" s="42"/>
      <c r="G106" s="42"/>
      <c r="H106" s="42"/>
      <c r="I106" s="42"/>
    </row>
    <row r="107" customFormat="false" ht="37.5" hidden="false" customHeight="true" outlineLevel="0" collapsed="false">
      <c r="A107" s="36" t="n">
        <v>103</v>
      </c>
      <c r="B107" s="37" t="s">
        <v>1255</v>
      </c>
      <c r="C107" s="38" t="s">
        <v>1256</v>
      </c>
      <c r="D107" s="39"/>
      <c r="E107" s="39"/>
      <c r="F107" s="38"/>
      <c r="G107" s="38"/>
      <c r="H107" s="38"/>
      <c r="I107" s="38"/>
    </row>
    <row r="108" customFormat="false" ht="37.5" hidden="false" customHeight="true" outlineLevel="0" collapsed="false">
      <c r="A108" s="40" t="n">
        <v>104</v>
      </c>
      <c r="B108" s="41" t="s">
        <v>1257</v>
      </c>
      <c r="C108" s="42" t="s">
        <v>1258</v>
      </c>
      <c r="D108" s="39"/>
      <c r="E108" s="43"/>
      <c r="F108" s="42"/>
      <c r="G108" s="42"/>
      <c r="H108" s="42"/>
      <c r="I108" s="42"/>
    </row>
    <row r="109" customFormat="false" ht="37.5" hidden="false" customHeight="true" outlineLevel="0" collapsed="false">
      <c r="A109" s="36" t="n">
        <v>105</v>
      </c>
      <c r="B109" s="37" t="s">
        <v>1259</v>
      </c>
      <c r="C109" s="38" t="s">
        <v>1260</v>
      </c>
      <c r="D109" s="39"/>
      <c r="E109" s="39"/>
      <c r="F109" s="38"/>
      <c r="G109" s="38"/>
      <c r="H109" s="38"/>
      <c r="I109" s="38"/>
    </row>
    <row r="110" customFormat="false" ht="37.5" hidden="false" customHeight="true" outlineLevel="0" collapsed="false">
      <c r="A110" s="40" t="n">
        <v>106</v>
      </c>
      <c r="B110" s="41" t="s">
        <v>1261</v>
      </c>
      <c r="C110" s="42" t="s">
        <v>1262</v>
      </c>
      <c r="D110" s="39"/>
      <c r="E110" s="43"/>
      <c r="F110" s="42"/>
      <c r="G110" s="42"/>
      <c r="H110" s="42"/>
      <c r="I110" s="42"/>
    </row>
    <row r="111" customFormat="false" ht="37.5" hidden="false" customHeight="true" outlineLevel="0" collapsed="false">
      <c r="A111" s="36" t="n">
        <v>107</v>
      </c>
      <c r="B111" s="37" t="s">
        <v>1263</v>
      </c>
      <c r="C111" s="38" t="s">
        <v>1264</v>
      </c>
      <c r="D111" s="39"/>
      <c r="E111" s="39"/>
      <c r="F111" s="38"/>
      <c r="G111" s="38"/>
      <c r="H111" s="38"/>
      <c r="I111" s="38"/>
    </row>
    <row r="112" customFormat="false" ht="37.5" hidden="false" customHeight="true" outlineLevel="0" collapsed="false">
      <c r="A112" s="40" t="n">
        <v>108</v>
      </c>
      <c r="B112" s="41" t="s">
        <v>1265</v>
      </c>
      <c r="C112" s="42" t="s">
        <v>1266</v>
      </c>
      <c r="D112" s="39"/>
      <c r="E112" s="43"/>
      <c r="F112" s="42"/>
      <c r="G112" s="42"/>
      <c r="H112" s="42"/>
      <c r="I112" s="42"/>
    </row>
    <row r="113" customFormat="false" ht="37.5" hidden="false" customHeight="true" outlineLevel="0" collapsed="false">
      <c r="A113" s="36" t="n">
        <v>109</v>
      </c>
      <c r="B113" s="37" t="s">
        <v>1267</v>
      </c>
      <c r="C113" s="38" t="s">
        <v>1268</v>
      </c>
      <c r="D113" s="39"/>
      <c r="E113" s="39"/>
      <c r="F113" s="38"/>
      <c r="G113" s="38"/>
      <c r="H113" s="38"/>
      <c r="I113" s="38"/>
    </row>
    <row r="114" customFormat="false" ht="37.5" hidden="false" customHeight="true" outlineLevel="0" collapsed="false">
      <c r="A114" s="40" t="n">
        <v>110</v>
      </c>
      <c r="B114" s="41" t="s">
        <v>1269</v>
      </c>
      <c r="C114" s="42" t="s">
        <v>1270</v>
      </c>
      <c r="D114" s="39"/>
      <c r="E114" s="43"/>
      <c r="F114" s="42"/>
      <c r="G114" s="42"/>
      <c r="H114" s="42"/>
      <c r="I114" s="42"/>
    </row>
    <row r="115" customFormat="false" ht="37.5" hidden="false" customHeight="true" outlineLevel="0" collapsed="false">
      <c r="A115" s="36" t="n">
        <v>111</v>
      </c>
      <c r="B115" s="37" t="s">
        <v>1271</v>
      </c>
      <c r="C115" s="38" t="s">
        <v>1272</v>
      </c>
      <c r="D115" s="39"/>
      <c r="E115" s="39"/>
      <c r="F115" s="38"/>
      <c r="G115" s="38"/>
      <c r="H115" s="38"/>
      <c r="I115" s="38"/>
    </row>
    <row r="116" customFormat="false" ht="37.5" hidden="false" customHeight="true" outlineLevel="0" collapsed="false">
      <c r="A116" s="40" t="n">
        <v>112</v>
      </c>
      <c r="B116" s="41" t="s">
        <v>1273</v>
      </c>
      <c r="C116" s="42" t="s">
        <v>1274</v>
      </c>
      <c r="D116" s="39"/>
      <c r="E116" s="43"/>
      <c r="F116" s="42"/>
      <c r="G116" s="42"/>
      <c r="H116" s="42"/>
      <c r="I116" s="42"/>
    </row>
    <row r="117" customFormat="false" ht="37.5" hidden="false" customHeight="true" outlineLevel="0" collapsed="false">
      <c r="A117" s="36" t="n">
        <v>113</v>
      </c>
      <c r="B117" s="37" t="s">
        <v>1275</v>
      </c>
      <c r="C117" s="38" t="s">
        <v>1276</v>
      </c>
      <c r="D117" s="39"/>
      <c r="E117" s="39"/>
      <c r="F117" s="38"/>
      <c r="G117" s="38"/>
      <c r="H117" s="38"/>
      <c r="I117" s="38"/>
    </row>
    <row r="118" customFormat="false" ht="37.5" hidden="false" customHeight="true" outlineLevel="0" collapsed="false">
      <c r="A118" s="40" t="n">
        <v>114</v>
      </c>
      <c r="B118" s="41" t="s">
        <v>1277</v>
      </c>
      <c r="C118" s="42" t="s">
        <v>1278</v>
      </c>
      <c r="D118" s="39"/>
      <c r="E118" s="43"/>
      <c r="F118" s="42"/>
      <c r="G118" s="42"/>
      <c r="H118" s="42"/>
      <c r="I118" s="42"/>
    </row>
    <row r="119" customFormat="false" ht="37.5" hidden="false" customHeight="true" outlineLevel="0" collapsed="false">
      <c r="A119" s="36" t="n">
        <v>115</v>
      </c>
      <c r="B119" s="37" t="s">
        <v>1279</v>
      </c>
      <c r="C119" s="38" t="s">
        <v>1280</v>
      </c>
      <c r="D119" s="39"/>
      <c r="E119" s="39"/>
      <c r="F119" s="38"/>
      <c r="G119" s="38"/>
      <c r="H119" s="38"/>
      <c r="I119" s="38"/>
    </row>
    <row r="120" customFormat="false" ht="37.5" hidden="false" customHeight="true" outlineLevel="0" collapsed="false">
      <c r="A120" s="40" t="n">
        <v>116</v>
      </c>
      <c r="B120" s="41" t="s">
        <v>1281</v>
      </c>
      <c r="C120" s="42" t="s">
        <v>1282</v>
      </c>
      <c r="D120" s="39"/>
      <c r="E120" s="43"/>
      <c r="F120" s="42"/>
      <c r="G120" s="42"/>
      <c r="H120" s="42"/>
      <c r="I120" s="42"/>
    </row>
    <row r="121" customFormat="false" ht="37.5" hidden="false" customHeight="true" outlineLevel="0" collapsed="false">
      <c r="A121" s="36" t="n">
        <v>117</v>
      </c>
      <c r="B121" s="37" t="s">
        <v>1283</v>
      </c>
      <c r="C121" s="38" t="s">
        <v>1284</v>
      </c>
      <c r="D121" s="39"/>
      <c r="E121" s="39"/>
      <c r="F121" s="38"/>
      <c r="G121" s="38"/>
      <c r="H121" s="38"/>
      <c r="I121" s="38"/>
    </row>
    <row r="122" customFormat="false" ht="37.5" hidden="false" customHeight="true" outlineLevel="0" collapsed="false">
      <c r="A122" s="40" t="n">
        <v>118</v>
      </c>
      <c r="B122" s="41" t="s">
        <v>1285</v>
      </c>
      <c r="C122" s="42" t="s">
        <v>1286</v>
      </c>
      <c r="D122" s="39"/>
      <c r="E122" s="43"/>
      <c r="F122" s="42"/>
      <c r="G122" s="42"/>
      <c r="H122" s="42"/>
      <c r="I122" s="42"/>
    </row>
    <row r="123" customFormat="false" ht="37.5" hidden="false" customHeight="true" outlineLevel="0" collapsed="false">
      <c r="A123" s="36" t="n">
        <v>119</v>
      </c>
      <c r="B123" s="37" t="s">
        <v>1287</v>
      </c>
      <c r="C123" s="38" t="s">
        <v>1288</v>
      </c>
      <c r="D123" s="39"/>
      <c r="E123" s="39"/>
      <c r="F123" s="38"/>
      <c r="G123" s="38"/>
      <c r="H123" s="38"/>
      <c r="I123" s="38"/>
    </row>
    <row r="124" customFormat="false" ht="37.5" hidden="false" customHeight="true" outlineLevel="0" collapsed="false">
      <c r="A124" s="40" t="n">
        <v>120</v>
      </c>
      <c r="B124" s="41" t="s">
        <v>1289</v>
      </c>
      <c r="C124" s="42" t="s">
        <v>1290</v>
      </c>
      <c r="D124" s="39"/>
      <c r="E124" s="43"/>
      <c r="F124" s="42"/>
      <c r="G124" s="42"/>
      <c r="H124" s="42"/>
      <c r="I124" s="42"/>
    </row>
    <row r="125" customFormat="false" ht="37.5" hidden="false" customHeight="true" outlineLevel="0" collapsed="false">
      <c r="A125" s="36" t="n">
        <v>121</v>
      </c>
      <c r="B125" s="37" t="s">
        <v>1291</v>
      </c>
      <c r="C125" s="38" t="s">
        <v>1292</v>
      </c>
      <c r="D125" s="39"/>
      <c r="E125" s="39"/>
      <c r="F125" s="38"/>
      <c r="G125" s="38"/>
      <c r="H125" s="38"/>
      <c r="I125" s="38"/>
    </row>
    <row r="126" customFormat="false" ht="37.5" hidden="false" customHeight="true" outlineLevel="0" collapsed="false">
      <c r="A126" s="40" t="n">
        <v>122</v>
      </c>
      <c r="B126" s="41" t="s">
        <v>1293</v>
      </c>
      <c r="C126" s="42" t="s">
        <v>1294</v>
      </c>
      <c r="D126" s="39"/>
      <c r="E126" s="43"/>
      <c r="F126" s="42"/>
      <c r="G126" s="42"/>
      <c r="H126" s="42"/>
      <c r="I126" s="42"/>
    </row>
    <row r="127" customFormat="false" ht="37.5" hidden="false" customHeight="true" outlineLevel="0" collapsed="false">
      <c r="A127" s="36" t="n">
        <v>123</v>
      </c>
      <c r="B127" s="37" t="s">
        <v>1295</v>
      </c>
      <c r="C127" s="38" t="s">
        <v>1296</v>
      </c>
      <c r="D127" s="39"/>
      <c r="E127" s="39"/>
      <c r="F127" s="38"/>
      <c r="G127" s="38"/>
      <c r="H127" s="38"/>
      <c r="I127" s="38"/>
    </row>
    <row r="128" customFormat="false" ht="37.5" hidden="false" customHeight="true" outlineLevel="0" collapsed="false">
      <c r="A128" s="40" t="n">
        <v>124</v>
      </c>
      <c r="B128" s="41" t="s">
        <v>1297</v>
      </c>
      <c r="C128" s="42" t="s">
        <v>1298</v>
      </c>
      <c r="D128" s="39"/>
      <c r="E128" s="43"/>
      <c r="F128" s="42"/>
      <c r="G128" s="42"/>
      <c r="H128" s="42"/>
      <c r="I128" s="42"/>
    </row>
    <row r="129" customFormat="false" ht="37.5" hidden="false" customHeight="true" outlineLevel="0" collapsed="false">
      <c r="A129" s="36" t="n">
        <v>125</v>
      </c>
      <c r="B129" s="37" t="s">
        <v>1299</v>
      </c>
      <c r="C129" s="38" t="s">
        <v>1300</v>
      </c>
      <c r="D129" s="39"/>
      <c r="E129" s="39"/>
      <c r="F129" s="38"/>
      <c r="G129" s="38"/>
      <c r="H129" s="38"/>
      <c r="I129" s="38"/>
    </row>
    <row r="130" customFormat="false" ht="37.5" hidden="false" customHeight="true" outlineLevel="0" collapsed="false">
      <c r="A130" s="40" t="n">
        <v>126</v>
      </c>
      <c r="B130" s="41" t="s">
        <v>1301</v>
      </c>
      <c r="C130" s="42" t="s">
        <v>1302</v>
      </c>
      <c r="D130" s="39"/>
      <c r="E130" s="43"/>
      <c r="F130" s="42"/>
      <c r="G130" s="42"/>
      <c r="H130" s="42"/>
      <c r="I130" s="42"/>
    </row>
    <row r="131" customFormat="false" ht="37.5" hidden="false" customHeight="true" outlineLevel="0" collapsed="false">
      <c r="A131" s="36" t="n">
        <v>127</v>
      </c>
      <c r="B131" s="37" t="s">
        <v>1303</v>
      </c>
      <c r="C131" s="38" t="s">
        <v>1304</v>
      </c>
      <c r="D131" s="39"/>
      <c r="E131" s="39"/>
      <c r="F131" s="38"/>
      <c r="G131" s="38"/>
      <c r="H131" s="38"/>
      <c r="I131" s="38"/>
    </row>
    <row r="132" customFormat="false" ht="37.5" hidden="false" customHeight="true" outlineLevel="0" collapsed="false">
      <c r="A132" s="40" t="n">
        <v>128</v>
      </c>
      <c r="B132" s="41" t="s">
        <v>1305</v>
      </c>
      <c r="C132" s="42" t="s">
        <v>1306</v>
      </c>
      <c r="D132" s="39"/>
      <c r="E132" s="43"/>
      <c r="F132" s="42"/>
      <c r="G132" s="42"/>
      <c r="H132" s="42"/>
      <c r="I132" s="42"/>
    </row>
    <row r="133" customFormat="false" ht="37.5" hidden="false" customHeight="true" outlineLevel="0" collapsed="false">
      <c r="A133" s="36" t="n">
        <v>129</v>
      </c>
      <c r="B133" s="37" t="s">
        <v>1307</v>
      </c>
      <c r="C133" s="38" t="s">
        <v>1308</v>
      </c>
      <c r="D133" s="39"/>
      <c r="E133" s="39"/>
      <c r="F133" s="38"/>
      <c r="G133" s="38"/>
      <c r="H133" s="38"/>
      <c r="I133" s="38"/>
    </row>
    <row r="134" customFormat="false" ht="37.5" hidden="false" customHeight="true" outlineLevel="0" collapsed="false">
      <c r="A134" s="40" t="n">
        <v>130</v>
      </c>
      <c r="B134" s="41" t="s">
        <v>1309</v>
      </c>
      <c r="C134" s="42" t="s">
        <v>1310</v>
      </c>
      <c r="D134" s="39"/>
      <c r="E134" s="43"/>
      <c r="F134" s="42"/>
      <c r="G134" s="42"/>
      <c r="H134" s="42"/>
      <c r="I134" s="42"/>
    </row>
    <row r="135" customFormat="false" ht="37.5" hidden="false" customHeight="true" outlineLevel="0" collapsed="false">
      <c r="A135" s="36" t="n">
        <v>131</v>
      </c>
      <c r="B135" s="37" t="s">
        <v>1311</v>
      </c>
      <c r="C135" s="38" t="s">
        <v>1312</v>
      </c>
      <c r="D135" s="39"/>
      <c r="E135" s="39"/>
      <c r="F135" s="38"/>
      <c r="G135" s="38"/>
      <c r="H135" s="38"/>
      <c r="I135" s="38"/>
    </row>
    <row r="136" customFormat="false" ht="37.5" hidden="false" customHeight="true" outlineLevel="0" collapsed="false">
      <c r="A136" s="40" t="n">
        <v>132</v>
      </c>
      <c r="B136" s="41" t="s">
        <v>1313</v>
      </c>
      <c r="C136" s="42" t="s">
        <v>1314</v>
      </c>
      <c r="D136" s="39"/>
      <c r="E136" s="43"/>
      <c r="F136" s="42"/>
      <c r="G136" s="42"/>
      <c r="H136" s="42"/>
      <c r="I136" s="42"/>
    </row>
    <row r="137" customFormat="false" ht="37.5" hidden="false" customHeight="true" outlineLevel="0" collapsed="false">
      <c r="A137" s="36" t="n">
        <v>133</v>
      </c>
      <c r="B137" s="37" t="s">
        <v>1315</v>
      </c>
      <c r="C137" s="38" t="s">
        <v>1316</v>
      </c>
      <c r="D137" s="39"/>
      <c r="E137" s="39"/>
      <c r="F137" s="38"/>
      <c r="G137" s="38"/>
      <c r="H137" s="38"/>
      <c r="I137" s="38"/>
    </row>
    <row r="138" customFormat="false" ht="37.5" hidden="false" customHeight="true" outlineLevel="0" collapsed="false">
      <c r="A138" s="40" t="n">
        <v>134</v>
      </c>
      <c r="B138" s="41" t="s">
        <v>1317</v>
      </c>
      <c r="C138" s="42" t="s">
        <v>1318</v>
      </c>
      <c r="D138" s="39"/>
      <c r="E138" s="43"/>
      <c r="F138" s="42"/>
      <c r="G138" s="42"/>
      <c r="H138" s="42"/>
      <c r="I138" s="42"/>
    </row>
    <row r="139" customFormat="false" ht="37.5" hidden="false" customHeight="true" outlineLevel="0" collapsed="false">
      <c r="A139" s="36" t="n">
        <v>135</v>
      </c>
      <c r="B139" s="37" t="s">
        <v>1319</v>
      </c>
      <c r="C139" s="38" t="s">
        <v>1320</v>
      </c>
      <c r="D139" s="39"/>
      <c r="E139" s="39"/>
      <c r="F139" s="38"/>
      <c r="G139" s="38"/>
      <c r="H139" s="38"/>
      <c r="I139" s="38"/>
    </row>
    <row r="140" customFormat="false" ht="37.5" hidden="false" customHeight="true" outlineLevel="0" collapsed="false">
      <c r="A140" s="40" t="n">
        <v>136</v>
      </c>
      <c r="B140" s="41" t="s">
        <v>1321</v>
      </c>
      <c r="C140" s="42" t="s">
        <v>1322</v>
      </c>
      <c r="D140" s="39"/>
      <c r="E140" s="43"/>
      <c r="F140" s="42"/>
      <c r="G140" s="42"/>
      <c r="H140" s="42"/>
      <c r="I140" s="42"/>
    </row>
    <row r="141" customFormat="false" ht="37.5" hidden="false" customHeight="true" outlineLevel="0" collapsed="false">
      <c r="A141" s="36" t="n">
        <v>137</v>
      </c>
      <c r="B141" s="37" t="s">
        <v>1323</v>
      </c>
      <c r="C141" s="38" t="s">
        <v>1324</v>
      </c>
      <c r="D141" s="39"/>
      <c r="E141" s="39"/>
      <c r="F141" s="38"/>
      <c r="G141" s="38"/>
      <c r="H141" s="38"/>
      <c r="I141" s="38"/>
    </row>
    <row r="142" customFormat="false" ht="37.5" hidden="false" customHeight="true" outlineLevel="0" collapsed="false">
      <c r="A142" s="40" t="n">
        <v>138</v>
      </c>
      <c r="B142" s="41" t="s">
        <v>1325</v>
      </c>
      <c r="C142" s="42" t="s">
        <v>1326</v>
      </c>
      <c r="D142" s="39"/>
      <c r="E142" s="43"/>
      <c r="F142" s="42"/>
      <c r="G142" s="42"/>
      <c r="H142" s="42"/>
      <c r="I142" s="42"/>
    </row>
    <row r="143" customFormat="false" ht="37.5" hidden="false" customHeight="true" outlineLevel="0" collapsed="false">
      <c r="A143" s="36" t="n">
        <v>139</v>
      </c>
      <c r="B143" s="37" t="s">
        <v>1327</v>
      </c>
      <c r="C143" s="38" t="s">
        <v>1328</v>
      </c>
      <c r="D143" s="39"/>
      <c r="E143" s="39"/>
      <c r="F143" s="38"/>
      <c r="G143" s="38"/>
      <c r="H143" s="38"/>
      <c r="I143" s="38"/>
    </row>
    <row r="144" customFormat="false" ht="37.5" hidden="false" customHeight="true" outlineLevel="0" collapsed="false">
      <c r="A144" s="40" t="n">
        <v>140</v>
      </c>
      <c r="B144" s="41" t="s">
        <v>1329</v>
      </c>
      <c r="C144" s="42" t="s">
        <v>1330</v>
      </c>
      <c r="D144" s="39"/>
      <c r="E144" s="43"/>
      <c r="F144" s="42"/>
      <c r="G144" s="42"/>
      <c r="H144" s="42"/>
      <c r="I144" s="42"/>
    </row>
    <row r="145" customFormat="false" ht="37.5" hidden="false" customHeight="true" outlineLevel="0" collapsed="false">
      <c r="A145" s="36" t="n">
        <v>141</v>
      </c>
      <c r="B145" s="37" t="s">
        <v>1331</v>
      </c>
      <c r="C145" s="38" t="s">
        <v>1332</v>
      </c>
      <c r="D145" s="39"/>
      <c r="E145" s="39"/>
      <c r="F145" s="38"/>
      <c r="G145" s="38"/>
      <c r="H145" s="38"/>
      <c r="I145" s="38"/>
    </row>
    <row r="146" customFormat="false" ht="37.5" hidden="false" customHeight="true" outlineLevel="0" collapsed="false">
      <c r="A146" s="40" t="n">
        <v>142</v>
      </c>
      <c r="B146" s="41" t="s">
        <v>1333</v>
      </c>
      <c r="C146" s="42" t="s">
        <v>1334</v>
      </c>
      <c r="D146" s="39"/>
      <c r="E146" s="43"/>
      <c r="F146" s="42"/>
      <c r="G146" s="42"/>
      <c r="H146" s="42"/>
      <c r="I146" s="42"/>
    </row>
    <row r="147" customFormat="false" ht="37.5" hidden="false" customHeight="true" outlineLevel="0" collapsed="false">
      <c r="A147" s="36" t="n">
        <v>143</v>
      </c>
      <c r="B147" s="37" t="s">
        <v>1335</v>
      </c>
      <c r="C147" s="38" t="s">
        <v>1336</v>
      </c>
      <c r="D147" s="39"/>
      <c r="E147" s="39"/>
      <c r="F147" s="38"/>
      <c r="G147" s="38"/>
      <c r="H147" s="38"/>
      <c r="I147" s="38"/>
    </row>
    <row r="148" customFormat="false" ht="37.5" hidden="false" customHeight="true" outlineLevel="0" collapsed="false">
      <c r="A148" s="40" t="n">
        <v>144</v>
      </c>
      <c r="B148" s="41" t="s">
        <v>1337</v>
      </c>
      <c r="C148" s="42" t="s">
        <v>1338</v>
      </c>
      <c r="D148" s="39"/>
      <c r="E148" s="43"/>
      <c r="F148" s="42"/>
      <c r="G148" s="42"/>
      <c r="H148" s="42"/>
      <c r="I148" s="42"/>
    </row>
    <row r="149" customFormat="false" ht="37.5" hidden="false" customHeight="true" outlineLevel="0" collapsed="false">
      <c r="A149" s="36" t="n">
        <v>145</v>
      </c>
      <c r="B149" s="37" t="s">
        <v>1339</v>
      </c>
      <c r="C149" s="38" t="s">
        <v>1340</v>
      </c>
      <c r="D149" s="39"/>
      <c r="E149" s="39"/>
      <c r="F149" s="38"/>
      <c r="G149" s="38"/>
      <c r="H149" s="38"/>
      <c r="I149" s="38"/>
    </row>
    <row r="150" customFormat="false" ht="37.5" hidden="false" customHeight="true" outlineLevel="0" collapsed="false">
      <c r="A150" s="40" t="n">
        <v>146</v>
      </c>
      <c r="B150" s="41" t="s">
        <v>1341</v>
      </c>
      <c r="C150" s="42" t="s">
        <v>1342</v>
      </c>
      <c r="D150" s="39"/>
      <c r="E150" s="43"/>
      <c r="F150" s="42"/>
      <c r="G150" s="42"/>
      <c r="H150" s="42"/>
      <c r="I150" s="42"/>
    </row>
    <row r="151" customFormat="false" ht="37.5" hidden="false" customHeight="true" outlineLevel="0" collapsed="false">
      <c r="A151" s="36" t="n">
        <v>147</v>
      </c>
      <c r="B151" s="37" t="s">
        <v>1343</v>
      </c>
      <c r="C151" s="38" t="s">
        <v>1344</v>
      </c>
      <c r="D151" s="39"/>
      <c r="E151" s="39"/>
      <c r="F151" s="38"/>
      <c r="G151" s="38"/>
      <c r="H151" s="38"/>
      <c r="I151" s="38"/>
    </row>
  </sheetData>
  <autoFilter ref="A4:I151"/>
  <mergeCells count="2">
    <mergeCell ref="A1:I1"/>
    <mergeCell ref="A2:I2"/>
  </mergeCells>
  <conditionalFormatting sqref="D5:D151">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1345</v>
      </c>
      <c r="B1" s="35"/>
      <c r="C1" s="35"/>
      <c r="D1" s="35"/>
      <c r="E1" s="35"/>
      <c r="F1" s="35"/>
      <c r="G1" s="35"/>
      <c r="H1" s="35"/>
      <c r="I1" s="35"/>
    </row>
    <row r="2" customFormat="false" ht="19.5" hidden="false" customHeight="true" outlineLevel="0" collapsed="false">
      <c r="A2" s="18" t="s">
        <v>187</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1346</v>
      </c>
      <c r="C5" s="38" t="s">
        <v>1347</v>
      </c>
      <c r="D5" s="39"/>
      <c r="E5" s="39"/>
      <c r="F5" s="38"/>
      <c r="G5" s="38"/>
      <c r="H5" s="38"/>
      <c r="I5" s="38"/>
    </row>
    <row r="6" customFormat="false" ht="37.5" hidden="false" customHeight="true" outlineLevel="0" collapsed="false">
      <c r="A6" s="40" t="n">
        <v>2</v>
      </c>
      <c r="B6" s="41" t="s">
        <v>1348</v>
      </c>
      <c r="C6" s="42" t="s">
        <v>1349</v>
      </c>
      <c r="D6" s="39"/>
      <c r="E6" s="43"/>
      <c r="F6" s="42"/>
      <c r="G6" s="42"/>
      <c r="H6" s="42"/>
      <c r="I6" s="42"/>
    </row>
    <row r="7" customFormat="false" ht="37.5" hidden="false" customHeight="true" outlineLevel="0" collapsed="false">
      <c r="A7" s="36" t="n">
        <v>3</v>
      </c>
      <c r="B7" s="37" t="s">
        <v>1350</v>
      </c>
      <c r="C7" s="38" t="s">
        <v>1351</v>
      </c>
      <c r="D7" s="39"/>
      <c r="E7" s="39"/>
      <c r="F7" s="38"/>
      <c r="G7" s="38"/>
      <c r="H7" s="38"/>
      <c r="I7" s="38"/>
    </row>
    <row r="8" customFormat="false" ht="37.5" hidden="false" customHeight="true" outlineLevel="0" collapsed="false">
      <c r="A8" s="40" t="n">
        <v>4</v>
      </c>
      <c r="B8" s="41" t="s">
        <v>1352</v>
      </c>
      <c r="C8" s="42" t="s">
        <v>1353</v>
      </c>
      <c r="D8" s="39"/>
      <c r="E8" s="43"/>
      <c r="F8" s="42"/>
      <c r="G8" s="42"/>
      <c r="H8" s="42"/>
      <c r="I8" s="42"/>
    </row>
    <row r="9" customFormat="false" ht="37.5" hidden="false" customHeight="true" outlineLevel="0" collapsed="false">
      <c r="A9" s="36" t="n">
        <v>5</v>
      </c>
      <c r="B9" s="37" t="s">
        <v>1354</v>
      </c>
      <c r="C9" s="38" t="s">
        <v>1355</v>
      </c>
      <c r="D9" s="39"/>
      <c r="E9" s="39"/>
      <c r="F9" s="38"/>
      <c r="G9" s="38"/>
      <c r="H9" s="38"/>
      <c r="I9" s="38"/>
    </row>
    <row r="10" customFormat="false" ht="37.5" hidden="false" customHeight="true" outlineLevel="0" collapsed="false">
      <c r="A10" s="40" t="n">
        <v>6</v>
      </c>
      <c r="B10" s="41" t="s">
        <v>1356</v>
      </c>
      <c r="C10" s="42" t="s">
        <v>1357</v>
      </c>
      <c r="D10" s="39"/>
      <c r="E10" s="43"/>
      <c r="F10" s="42"/>
      <c r="G10" s="42"/>
      <c r="H10" s="42"/>
      <c r="I10" s="42"/>
    </row>
    <row r="11" customFormat="false" ht="37.5" hidden="false" customHeight="true" outlineLevel="0" collapsed="false">
      <c r="A11" s="36" t="n">
        <v>7</v>
      </c>
      <c r="B11" s="37" t="s">
        <v>1358</v>
      </c>
      <c r="C11" s="38" t="s">
        <v>1359</v>
      </c>
      <c r="D11" s="39"/>
      <c r="E11" s="39"/>
      <c r="F11" s="38"/>
      <c r="G11" s="38"/>
      <c r="H11" s="38"/>
      <c r="I11" s="38"/>
    </row>
    <row r="12" customFormat="false" ht="37.5" hidden="false" customHeight="true" outlineLevel="0" collapsed="false">
      <c r="A12" s="40" t="n">
        <v>8</v>
      </c>
      <c r="B12" s="41" t="s">
        <v>1360</v>
      </c>
      <c r="C12" s="42" t="s">
        <v>1361</v>
      </c>
      <c r="D12" s="39"/>
      <c r="E12" s="43"/>
      <c r="F12" s="42"/>
      <c r="G12" s="42"/>
      <c r="H12" s="42"/>
      <c r="I12" s="42"/>
    </row>
    <row r="13" customFormat="false" ht="37.5" hidden="false" customHeight="true" outlineLevel="0" collapsed="false">
      <c r="A13" s="36" t="n">
        <v>9</v>
      </c>
      <c r="B13" s="37" t="s">
        <v>1362</v>
      </c>
      <c r="C13" s="38" t="s">
        <v>1363</v>
      </c>
      <c r="D13" s="39"/>
      <c r="E13" s="39"/>
      <c r="F13" s="38"/>
      <c r="G13" s="38"/>
      <c r="H13" s="38"/>
      <c r="I13" s="38"/>
    </row>
    <row r="14" customFormat="false" ht="37.5" hidden="false" customHeight="true" outlineLevel="0" collapsed="false">
      <c r="A14" s="40" t="n">
        <v>10</v>
      </c>
      <c r="B14" s="41" t="s">
        <v>1364</v>
      </c>
      <c r="C14" s="42" t="s">
        <v>1365</v>
      </c>
      <c r="D14" s="39"/>
      <c r="E14" s="43"/>
      <c r="F14" s="42"/>
      <c r="G14" s="42"/>
      <c r="H14" s="42"/>
      <c r="I14" s="42"/>
    </row>
    <row r="15" customFormat="false" ht="37.5" hidden="false" customHeight="true" outlineLevel="0" collapsed="false">
      <c r="A15" s="36" t="n">
        <v>11</v>
      </c>
      <c r="B15" s="37" t="s">
        <v>1366</v>
      </c>
      <c r="C15" s="38" t="s">
        <v>1367</v>
      </c>
      <c r="D15" s="39"/>
      <c r="E15" s="39"/>
      <c r="F15" s="38"/>
      <c r="G15" s="38"/>
      <c r="H15" s="38"/>
      <c r="I15" s="38"/>
    </row>
    <row r="16" customFormat="false" ht="37.5" hidden="false" customHeight="true" outlineLevel="0" collapsed="false">
      <c r="A16" s="40" t="n">
        <v>12</v>
      </c>
      <c r="B16" s="41" t="s">
        <v>1368</v>
      </c>
      <c r="C16" s="42" t="s">
        <v>1369</v>
      </c>
      <c r="D16" s="39"/>
      <c r="E16" s="43"/>
      <c r="F16" s="42"/>
      <c r="G16" s="42"/>
      <c r="H16" s="42"/>
      <c r="I16" s="42"/>
    </row>
    <row r="17" customFormat="false" ht="37.5" hidden="false" customHeight="true" outlineLevel="0" collapsed="false">
      <c r="A17" s="36" t="n">
        <v>13</v>
      </c>
      <c r="B17" s="37" t="s">
        <v>1370</v>
      </c>
      <c r="C17" s="38" t="s">
        <v>1371</v>
      </c>
      <c r="D17" s="39"/>
      <c r="E17" s="39"/>
      <c r="F17" s="38"/>
      <c r="G17" s="38"/>
      <c r="H17" s="38"/>
      <c r="I17" s="38"/>
    </row>
    <row r="18" customFormat="false" ht="37.5" hidden="false" customHeight="true" outlineLevel="0" collapsed="false">
      <c r="A18" s="40" t="n">
        <v>14</v>
      </c>
      <c r="B18" s="41" t="s">
        <v>1372</v>
      </c>
      <c r="C18" s="42" t="s">
        <v>1373</v>
      </c>
      <c r="D18" s="39"/>
      <c r="E18" s="43"/>
      <c r="F18" s="42"/>
      <c r="G18" s="42"/>
      <c r="H18" s="42"/>
      <c r="I18" s="42"/>
    </row>
    <row r="19" customFormat="false" ht="37.5" hidden="false" customHeight="true" outlineLevel="0" collapsed="false">
      <c r="A19" s="36" t="n">
        <v>15</v>
      </c>
      <c r="B19" s="37" t="s">
        <v>1374</v>
      </c>
      <c r="C19" s="38" t="s">
        <v>1375</v>
      </c>
      <c r="D19" s="39"/>
      <c r="E19" s="39"/>
      <c r="F19" s="38"/>
      <c r="G19" s="38"/>
      <c r="H19" s="38"/>
      <c r="I19" s="38"/>
    </row>
    <row r="20" customFormat="false" ht="37.5" hidden="false" customHeight="true" outlineLevel="0" collapsed="false">
      <c r="A20" s="40" t="n">
        <v>16</v>
      </c>
      <c r="B20" s="41" t="s">
        <v>1376</v>
      </c>
      <c r="C20" s="42" t="s">
        <v>1377</v>
      </c>
      <c r="D20" s="39"/>
      <c r="E20" s="43"/>
      <c r="F20" s="42"/>
      <c r="G20" s="42"/>
      <c r="H20" s="42"/>
      <c r="I20" s="42"/>
    </row>
    <row r="21" customFormat="false" ht="37.5" hidden="false" customHeight="true" outlineLevel="0" collapsed="false">
      <c r="A21" s="36" t="n">
        <v>17</v>
      </c>
      <c r="B21" s="37" t="s">
        <v>1378</v>
      </c>
      <c r="C21" s="38" t="s">
        <v>1379</v>
      </c>
      <c r="D21" s="39"/>
      <c r="E21" s="39"/>
      <c r="F21" s="38"/>
      <c r="G21" s="38"/>
      <c r="H21" s="38"/>
      <c r="I21" s="38"/>
    </row>
    <row r="22" customFormat="false" ht="37.5" hidden="false" customHeight="true" outlineLevel="0" collapsed="false">
      <c r="A22" s="40" t="n">
        <v>18</v>
      </c>
      <c r="B22" s="41" t="s">
        <v>1380</v>
      </c>
      <c r="C22" s="42" t="s">
        <v>1381</v>
      </c>
      <c r="D22" s="39"/>
      <c r="E22" s="43"/>
      <c r="F22" s="42"/>
      <c r="G22" s="42"/>
      <c r="H22" s="42"/>
      <c r="I22" s="42"/>
    </row>
    <row r="23" customFormat="false" ht="37.5" hidden="false" customHeight="true" outlineLevel="0" collapsed="false">
      <c r="A23" s="36" t="n">
        <v>19</v>
      </c>
      <c r="B23" s="37" t="s">
        <v>1382</v>
      </c>
      <c r="C23" s="38" t="s">
        <v>1383</v>
      </c>
      <c r="D23" s="39"/>
      <c r="E23" s="39"/>
      <c r="F23" s="38"/>
      <c r="G23" s="38"/>
      <c r="H23" s="38"/>
      <c r="I23" s="38"/>
    </row>
    <row r="24" customFormat="false" ht="37.5" hidden="false" customHeight="true" outlineLevel="0" collapsed="false">
      <c r="A24" s="40" t="n">
        <v>20</v>
      </c>
      <c r="B24" s="41" t="s">
        <v>1384</v>
      </c>
      <c r="C24" s="42" t="s">
        <v>1385</v>
      </c>
      <c r="D24" s="39"/>
      <c r="E24" s="43"/>
      <c r="F24" s="42"/>
      <c r="G24" s="42"/>
      <c r="H24" s="42"/>
      <c r="I24" s="42"/>
    </row>
    <row r="25" customFormat="false" ht="37.5" hidden="false" customHeight="true" outlineLevel="0" collapsed="false">
      <c r="A25" s="36" t="n">
        <v>21</v>
      </c>
      <c r="B25" s="37" t="s">
        <v>1386</v>
      </c>
      <c r="C25" s="38" t="s">
        <v>1387</v>
      </c>
      <c r="D25" s="39"/>
      <c r="E25" s="39"/>
      <c r="F25" s="38"/>
      <c r="G25" s="38"/>
      <c r="H25" s="38"/>
      <c r="I25" s="38"/>
    </row>
    <row r="26" customFormat="false" ht="37.5" hidden="false" customHeight="true" outlineLevel="0" collapsed="false">
      <c r="A26" s="40" t="n">
        <v>22</v>
      </c>
      <c r="B26" s="41" t="s">
        <v>1388</v>
      </c>
      <c r="C26" s="42" t="s">
        <v>1389</v>
      </c>
      <c r="D26" s="39"/>
      <c r="E26" s="43"/>
      <c r="F26" s="42"/>
      <c r="G26" s="42"/>
      <c r="H26" s="42"/>
      <c r="I26" s="42"/>
    </row>
    <row r="27" customFormat="false" ht="37.5" hidden="false" customHeight="true" outlineLevel="0" collapsed="false">
      <c r="A27" s="36" t="n">
        <v>23</v>
      </c>
      <c r="B27" s="37" t="s">
        <v>1390</v>
      </c>
      <c r="C27" s="38" t="s">
        <v>1391</v>
      </c>
      <c r="D27" s="39"/>
      <c r="E27" s="39"/>
      <c r="F27" s="38"/>
      <c r="G27" s="38"/>
      <c r="H27" s="38"/>
      <c r="I27" s="38"/>
    </row>
    <row r="28" customFormat="false" ht="37.5" hidden="false" customHeight="true" outlineLevel="0" collapsed="false">
      <c r="A28" s="40" t="n">
        <v>24</v>
      </c>
      <c r="B28" s="41" t="s">
        <v>1392</v>
      </c>
      <c r="C28" s="42" t="s">
        <v>1393</v>
      </c>
      <c r="D28" s="39"/>
      <c r="E28" s="43"/>
      <c r="F28" s="42"/>
      <c r="G28" s="42"/>
      <c r="H28" s="42"/>
      <c r="I28" s="42"/>
    </row>
    <row r="29" customFormat="false" ht="37.5" hidden="false" customHeight="true" outlineLevel="0" collapsed="false">
      <c r="A29" s="36" t="n">
        <v>25</v>
      </c>
      <c r="B29" s="37" t="s">
        <v>1394</v>
      </c>
      <c r="C29" s="38" t="s">
        <v>1395</v>
      </c>
      <c r="D29" s="39"/>
      <c r="E29" s="39"/>
      <c r="F29" s="38"/>
      <c r="G29" s="38"/>
      <c r="H29" s="38"/>
      <c r="I29" s="38"/>
    </row>
    <row r="30" customFormat="false" ht="37.5" hidden="false" customHeight="true" outlineLevel="0" collapsed="false">
      <c r="A30" s="40" t="n">
        <v>26</v>
      </c>
      <c r="B30" s="41" t="s">
        <v>1396</v>
      </c>
      <c r="C30" s="42" t="s">
        <v>1397</v>
      </c>
      <c r="D30" s="39"/>
      <c r="E30" s="43"/>
      <c r="F30" s="42"/>
      <c r="G30" s="42"/>
      <c r="H30" s="42"/>
      <c r="I30" s="42"/>
    </row>
    <row r="31" customFormat="false" ht="37.5" hidden="false" customHeight="true" outlineLevel="0" collapsed="false">
      <c r="A31" s="36" t="n">
        <v>27</v>
      </c>
      <c r="B31" s="37" t="s">
        <v>1398</v>
      </c>
      <c r="C31" s="38" t="s">
        <v>1399</v>
      </c>
      <c r="D31" s="39"/>
      <c r="E31" s="39"/>
      <c r="F31" s="38"/>
      <c r="G31" s="38"/>
      <c r="H31" s="38"/>
      <c r="I31" s="38"/>
    </row>
    <row r="32" customFormat="false" ht="37.5" hidden="false" customHeight="true" outlineLevel="0" collapsed="false">
      <c r="A32" s="40" t="n">
        <v>28</v>
      </c>
      <c r="B32" s="41" t="s">
        <v>1400</v>
      </c>
      <c r="C32" s="42" t="s">
        <v>1401</v>
      </c>
      <c r="D32" s="39"/>
      <c r="E32" s="43"/>
      <c r="F32" s="42"/>
      <c r="G32" s="42"/>
      <c r="H32" s="42"/>
      <c r="I32" s="42"/>
    </row>
    <row r="33" customFormat="false" ht="37.5" hidden="false" customHeight="true" outlineLevel="0" collapsed="false">
      <c r="A33" s="36" t="n">
        <v>29</v>
      </c>
      <c r="B33" s="37" t="s">
        <v>1402</v>
      </c>
      <c r="C33" s="38" t="s">
        <v>1403</v>
      </c>
      <c r="D33" s="39"/>
      <c r="E33" s="39"/>
      <c r="F33" s="38"/>
      <c r="G33" s="38"/>
      <c r="H33" s="38"/>
      <c r="I33" s="38"/>
    </row>
    <row r="34" customFormat="false" ht="37.5" hidden="false" customHeight="true" outlineLevel="0" collapsed="false">
      <c r="A34" s="40" t="n">
        <v>30</v>
      </c>
      <c r="B34" s="41" t="s">
        <v>1404</v>
      </c>
      <c r="C34" s="42" t="s">
        <v>1405</v>
      </c>
      <c r="D34" s="39"/>
      <c r="E34" s="43"/>
      <c r="F34" s="42"/>
      <c r="G34" s="42"/>
      <c r="H34" s="42"/>
      <c r="I34" s="42"/>
    </row>
    <row r="35" customFormat="false" ht="37.5" hidden="false" customHeight="true" outlineLevel="0" collapsed="false">
      <c r="A35" s="36" t="n">
        <v>31</v>
      </c>
      <c r="B35" s="37" t="s">
        <v>1406</v>
      </c>
      <c r="C35" s="38" t="s">
        <v>1407</v>
      </c>
      <c r="D35" s="39"/>
      <c r="E35" s="39"/>
      <c r="F35" s="38"/>
      <c r="G35" s="38"/>
      <c r="H35" s="38"/>
      <c r="I35" s="38"/>
    </row>
    <row r="36" customFormat="false" ht="37.5" hidden="false" customHeight="true" outlineLevel="0" collapsed="false">
      <c r="A36" s="40" t="n">
        <v>32</v>
      </c>
      <c r="B36" s="41" t="s">
        <v>1408</v>
      </c>
      <c r="C36" s="42" t="s">
        <v>1409</v>
      </c>
      <c r="D36" s="39"/>
      <c r="E36" s="43"/>
      <c r="F36" s="42"/>
      <c r="G36" s="42"/>
      <c r="H36" s="42"/>
      <c r="I36" s="42"/>
    </row>
    <row r="37" customFormat="false" ht="37.5" hidden="false" customHeight="true" outlineLevel="0" collapsed="false">
      <c r="A37" s="36" t="n">
        <v>33</v>
      </c>
      <c r="B37" s="37" t="s">
        <v>1410</v>
      </c>
      <c r="C37" s="38" t="s">
        <v>1411</v>
      </c>
      <c r="D37" s="39"/>
      <c r="E37" s="39"/>
      <c r="F37" s="38"/>
      <c r="G37" s="38"/>
      <c r="H37" s="38"/>
      <c r="I37" s="38"/>
    </row>
    <row r="38" customFormat="false" ht="37.5" hidden="false" customHeight="true" outlineLevel="0" collapsed="false">
      <c r="A38" s="40" t="n">
        <v>34</v>
      </c>
      <c r="B38" s="41" t="s">
        <v>1412</v>
      </c>
      <c r="C38" s="42" t="s">
        <v>922</v>
      </c>
      <c r="D38" s="39"/>
      <c r="E38" s="43"/>
      <c r="F38" s="42"/>
      <c r="G38" s="42"/>
      <c r="H38" s="42"/>
      <c r="I38" s="42"/>
    </row>
    <row r="39" customFormat="false" ht="37.5" hidden="false" customHeight="true" outlineLevel="0" collapsed="false">
      <c r="A39" s="36" t="n">
        <v>35</v>
      </c>
      <c r="B39" s="37" t="s">
        <v>1413</v>
      </c>
      <c r="C39" s="38" t="s">
        <v>1414</v>
      </c>
      <c r="D39" s="39"/>
      <c r="E39" s="39"/>
      <c r="F39" s="38"/>
      <c r="G39" s="38"/>
      <c r="H39" s="38"/>
      <c r="I39" s="38"/>
    </row>
    <row r="40" customFormat="false" ht="37.5" hidden="false" customHeight="true" outlineLevel="0" collapsed="false">
      <c r="A40" s="40" t="n">
        <v>36</v>
      </c>
      <c r="B40" s="41" t="s">
        <v>1415</v>
      </c>
      <c r="C40" s="42" t="s">
        <v>1416</v>
      </c>
      <c r="D40" s="39"/>
      <c r="E40" s="43"/>
      <c r="F40" s="42"/>
      <c r="G40" s="42"/>
      <c r="H40" s="42"/>
      <c r="I40" s="42"/>
    </row>
    <row r="41" customFormat="false" ht="37.5" hidden="false" customHeight="true" outlineLevel="0" collapsed="false">
      <c r="A41" s="36" t="n">
        <v>37</v>
      </c>
      <c r="B41" s="37" t="s">
        <v>1417</v>
      </c>
      <c r="C41" s="38" t="s">
        <v>1418</v>
      </c>
      <c r="D41" s="39"/>
      <c r="E41" s="39"/>
      <c r="F41" s="38"/>
      <c r="G41" s="38"/>
      <c r="H41" s="38"/>
      <c r="I41" s="38"/>
    </row>
    <row r="42" customFormat="false" ht="37.5" hidden="false" customHeight="true" outlineLevel="0" collapsed="false">
      <c r="A42" s="40" t="n">
        <v>38</v>
      </c>
      <c r="B42" s="41" t="s">
        <v>1419</v>
      </c>
      <c r="C42" s="42" t="s">
        <v>1420</v>
      </c>
      <c r="D42" s="39"/>
      <c r="E42" s="43"/>
      <c r="F42" s="42"/>
      <c r="G42" s="42"/>
      <c r="H42" s="42"/>
      <c r="I42" s="42"/>
    </row>
    <row r="43" customFormat="false" ht="37.5" hidden="false" customHeight="true" outlineLevel="0" collapsed="false">
      <c r="A43" s="36" t="n">
        <v>39</v>
      </c>
      <c r="B43" s="37" t="s">
        <v>1421</v>
      </c>
      <c r="C43" s="38" t="s">
        <v>1422</v>
      </c>
      <c r="D43" s="39"/>
      <c r="E43" s="39"/>
      <c r="F43" s="38"/>
      <c r="G43" s="38"/>
      <c r="H43" s="38"/>
      <c r="I43" s="38"/>
    </row>
    <row r="44" customFormat="false" ht="37.5" hidden="false" customHeight="true" outlineLevel="0" collapsed="false">
      <c r="A44" s="40" t="n">
        <v>40</v>
      </c>
      <c r="B44" s="41" t="s">
        <v>1423</v>
      </c>
      <c r="C44" s="42" t="s">
        <v>1424</v>
      </c>
      <c r="D44" s="39"/>
      <c r="E44" s="43"/>
      <c r="F44" s="42"/>
      <c r="G44" s="42"/>
      <c r="H44" s="42"/>
      <c r="I44" s="42"/>
    </row>
    <row r="45" customFormat="false" ht="37.5" hidden="false" customHeight="true" outlineLevel="0" collapsed="false">
      <c r="A45" s="36" t="n">
        <v>41</v>
      </c>
      <c r="B45" s="37" t="s">
        <v>1425</v>
      </c>
      <c r="C45" s="38" t="s">
        <v>1426</v>
      </c>
      <c r="D45" s="39"/>
      <c r="E45" s="39"/>
      <c r="F45" s="38"/>
      <c r="G45" s="38"/>
      <c r="H45" s="38"/>
      <c r="I45" s="38"/>
    </row>
    <row r="46" customFormat="false" ht="37.5" hidden="false" customHeight="true" outlineLevel="0" collapsed="false">
      <c r="A46" s="40" t="n">
        <v>42</v>
      </c>
      <c r="B46" s="41" t="s">
        <v>1427</v>
      </c>
      <c r="C46" s="42" t="s">
        <v>1428</v>
      </c>
      <c r="D46" s="39"/>
      <c r="E46" s="43"/>
      <c r="F46" s="42"/>
      <c r="G46" s="42"/>
      <c r="H46" s="42"/>
      <c r="I46" s="42"/>
    </row>
    <row r="47" customFormat="false" ht="37.5" hidden="false" customHeight="true" outlineLevel="0" collapsed="false">
      <c r="A47" s="36" t="n">
        <v>43</v>
      </c>
      <c r="B47" s="37" t="s">
        <v>1429</v>
      </c>
      <c r="C47" s="38" t="s">
        <v>1430</v>
      </c>
      <c r="D47" s="39"/>
      <c r="E47" s="39"/>
      <c r="F47" s="38"/>
      <c r="G47" s="38"/>
      <c r="H47" s="38"/>
      <c r="I47" s="38"/>
    </row>
    <row r="48" customFormat="false" ht="37.5" hidden="false" customHeight="true" outlineLevel="0" collapsed="false">
      <c r="A48" s="40" t="n">
        <v>44</v>
      </c>
      <c r="B48" s="41" t="s">
        <v>1431</v>
      </c>
      <c r="C48" s="42" t="s">
        <v>1432</v>
      </c>
      <c r="D48" s="39"/>
      <c r="E48" s="43"/>
      <c r="F48" s="42"/>
      <c r="G48" s="42"/>
      <c r="H48" s="42"/>
      <c r="I48" s="42"/>
    </row>
    <row r="49" customFormat="false" ht="37.5" hidden="false" customHeight="true" outlineLevel="0" collapsed="false">
      <c r="A49" s="36" t="n">
        <v>45</v>
      </c>
      <c r="B49" s="37" t="s">
        <v>1433</v>
      </c>
      <c r="C49" s="38" t="s">
        <v>1434</v>
      </c>
      <c r="D49" s="39"/>
      <c r="E49" s="39"/>
      <c r="F49" s="38"/>
      <c r="G49" s="38"/>
      <c r="H49" s="38"/>
      <c r="I49" s="38"/>
    </row>
    <row r="50" customFormat="false" ht="37.5" hidden="false" customHeight="true" outlineLevel="0" collapsed="false">
      <c r="A50" s="40" t="n">
        <v>46</v>
      </c>
      <c r="B50" s="41" t="s">
        <v>1435</v>
      </c>
      <c r="C50" s="42" t="s">
        <v>1436</v>
      </c>
      <c r="D50" s="39"/>
      <c r="E50" s="43"/>
      <c r="F50" s="42"/>
      <c r="G50" s="42"/>
      <c r="H50" s="42"/>
      <c r="I50" s="42"/>
    </row>
    <row r="51" customFormat="false" ht="37.5" hidden="false" customHeight="true" outlineLevel="0" collapsed="false">
      <c r="A51" s="36" t="n">
        <v>47</v>
      </c>
      <c r="B51" s="37" t="s">
        <v>1437</v>
      </c>
      <c r="C51" s="38" t="s">
        <v>1438</v>
      </c>
      <c r="D51" s="39"/>
      <c r="E51" s="39"/>
      <c r="F51" s="38"/>
      <c r="G51" s="38"/>
      <c r="H51" s="38"/>
      <c r="I51" s="38"/>
    </row>
    <row r="52" customFormat="false" ht="37.5" hidden="false" customHeight="true" outlineLevel="0" collapsed="false">
      <c r="A52" s="40" t="n">
        <v>48</v>
      </c>
      <c r="B52" s="41" t="s">
        <v>1439</v>
      </c>
      <c r="C52" s="42" t="s">
        <v>1440</v>
      </c>
      <c r="D52" s="39"/>
      <c r="E52" s="43"/>
      <c r="F52" s="42"/>
      <c r="G52" s="42"/>
      <c r="H52" s="42"/>
      <c r="I52" s="42"/>
    </row>
    <row r="53" customFormat="false" ht="37.5" hidden="false" customHeight="true" outlineLevel="0" collapsed="false">
      <c r="A53" s="36" t="n">
        <v>49</v>
      </c>
      <c r="B53" s="37" t="s">
        <v>1441</v>
      </c>
      <c r="C53" s="38" t="s">
        <v>1442</v>
      </c>
      <c r="D53" s="39"/>
      <c r="E53" s="39"/>
      <c r="F53" s="38"/>
      <c r="G53" s="38"/>
      <c r="H53" s="38"/>
      <c r="I53" s="38"/>
    </row>
    <row r="54" customFormat="false" ht="37.5" hidden="false" customHeight="true" outlineLevel="0" collapsed="false">
      <c r="A54" s="40" t="n">
        <v>50</v>
      </c>
      <c r="B54" s="41" t="s">
        <v>1443</v>
      </c>
      <c r="C54" s="42" t="s">
        <v>1444</v>
      </c>
      <c r="D54" s="39"/>
      <c r="E54" s="43"/>
      <c r="F54" s="42"/>
      <c r="G54" s="42"/>
      <c r="H54" s="42"/>
      <c r="I54" s="42"/>
    </row>
    <row r="55" customFormat="false" ht="37.5" hidden="false" customHeight="true" outlineLevel="0" collapsed="false">
      <c r="A55" s="36" t="n">
        <v>51</v>
      </c>
      <c r="B55" s="37" t="s">
        <v>1445</v>
      </c>
      <c r="C55" s="38" t="s">
        <v>1446</v>
      </c>
      <c r="D55" s="39"/>
      <c r="E55" s="39"/>
      <c r="F55" s="38"/>
      <c r="G55" s="38"/>
      <c r="H55" s="38"/>
      <c r="I55" s="38"/>
    </row>
    <row r="56" customFormat="false" ht="37.5" hidden="false" customHeight="true" outlineLevel="0" collapsed="false">
      <c r="A56" s="40" t="n">
        <v>52</v>
      </c>
      <c r="B56" s="41" t="s">
        <v>1447</v>
      </c>
      <c r="C56" s="42" t="s">
        <v>1448</v>
      </c>
      <c r="D56" s="39"/>
      <c r="E56" s="43"/>
      <c r="F56" s="42"/>
      <c r="G56" s="42"/>
      <c r="H56" s="42"/>
      <c r="I56" s="42"/>
    </row>
    <row r="57" customFormat="false" ht="37.5" hidden="false" customHeight="true" outlineLevel="0" collapsed="false">
      <c r="A57" s="36" t="n">
        <v>53</v>
      </c>
      <c r="B57" s="37" t="s">
        <v>1449</v>
      </c>
      <c r="C57" s="38" t="s">
        <v>1450</v>
      </c>
      <c r="D57" s="39"/>
      <c r="E57" s="39"/>
      <c r="F57" s="38"/>
      <c r="G57" s="38"/>
      <c r="H57" s="38"/>
      <c r="I57" s="38"/>
    </row>
    <row r="58" customFormat="false" ht="37.5" hidden="false" customHeight="true" outlineLevel="0" collapsed="false">
      <c r="A58" s="40" t="n">
        <v>54</v>
      </c>
      <c r="B58" s="41" t="s">
        <v>1451</v>
      </c>
      <c r="C58" s="42" t="s">
        <v>1452</v>
      </c>
      <c r="D58" s="39"/>
      <c r="E58" s="43"/>
      <c r="F58" s="42"/>
      <c r="G58" s="42"/>
      <c r="H58" s="42"/>
      <c r="I58" s="42"/>
    </row>
    <row r="59" customFormat="false" ht="37.5" hidden="false" customHeight="true" outlineLevel="0" collapsed="false">
      <c r="A59" s="36" t="n">
        <v>55</v>
      </c>
      <c r="B59" s="37" t="s">
        <v>1453</v>
      </c>
      <c r="C59" s="38" t="s">
        <v>1454</v>
      </c>
      <c r="D59" s="39"/>
      <c r="E59" s="39"/>
      <c r="F59" s="38"/>
      <c r="G59" s="38"/>
      <c r="H59" s="38"/>
      <c r="I59" s="38"/>
    </row>
    <row r="60" customFormat="false" ht="37.5" hidden="false" customHeight="true" outlineLevel="0" collapsed="false">
      <c r="A60" s="40" t="n">
        <v>56</v>
      </c>
      <c r="B60" s="41" t="s">
        <v>1455</v>
      </c>
      <c r="C60" s="42" t="s">
        <v>1456</v>
      </c>
      <c r="D60" s="39"/>
      <c r="E60" s="43"/>
      <c r="F60" s="42"/>
      <c r="G60" s="42"/>
      <c r="H60" s="42"/>
      <c r="I60" s="42"/>
    </row>
    <row r="61" customFormat="false" ht="37.5" hidden="false" customHeight="true" outlineLevel="0" collapsed="false">
      <c r="A61" s="36" t="n">
        <v>57</v>
      </c>
      <c r="B61" s="37" t="s">
        <v>1457</v>
      </c>
      <c r="C61" s="38" t="s">
        <v>1458</v>
      </c>
      <c r="D61" s="39"/>
      <c r="E61" s="39"/>
      <c r="F61" s="38"/>
      <c r="G61" s="38"/>
      <c r="H61" s="38"/>
      <c r="I61" s="38"/>
    </row>
    <row r="62" customFormat="false" ht="37.5" hidden="false" customHeight="true" outlineLevel="0" collapsed="false">
      <c r="A62" s="40" t="n">
        <v>58</v>
      </c>
      <c r="B62" s="41" t="s">
        <v>1459</v>
      </c>
      <c r="C62" s="42" t="s">
        <v>1460</v>
      </c>
      <c r="D62" s="39"/>
      <c r="E62" s="43"/>
      <c r="F62" s="42"/>
      <c r="G62" s="42"/>
      <c r="H62" s="42"/>
      <c r="I62" s="42"/>
    </row>
    <row r="63" customFormat="false" ht="37.5" hidden="false" customHeight="true" outlineLevel="0" collapsed="false">
      <c r="A63" s="36" t="n">
        <v>59</v>
      </c>
      <c r="B63" s="37" t="s">
        <v>1461</v>
      </c>
      <c r="C63" s="38" t="s">
        <v>1462</v>
      </c>
      <c r="D63" s="39"/>
      <c r="E63" s="39"/>
      <c r="F63" s="38"/>
      <c r="G63" s="38"/>
      <c r="H63" s="38"/>
      <c r="I63" s="38"/>
    </row>
    <row r="64" customFormat="false" ht="37.5" hidden="false" customHeight="true" outlineLevel="0" collapsed="false">
      <c r="A64" s="40" t="n">
        <v>60</v>
      </c>
      <c r="B64" s="41" t="s">
        <v>1463</v>
      </c>
      <c r="C64" s="42" t="s">
        <v>1464</v>
      </c>
      <c r="D64" s="39"/>
      <c r="E64" s="43"/>
      <c r="F64" s="42"/>
      <c r="G64" s="42"/>
      <c r="H64" s="42"/>
      <c r="I64" s="42"/>
    </row>
    <row r="65" customFormat="false" ht="37.5" hidden="false" customHeight="true" outlineLevel="0" collapsed="false">
      <c r="A65" s="36" t="n">
        <v>61</v>
      </c>
      <c r="B65" s="37" t="s">
        <v>1465</v>
      </c>
      <c r="C65" s="38" t="s">
        <v>978</v>
      </c>
      <c r="D65" s="39"/>
      <c r="E65" s="39"/>
      <c r="F65" s="38"/>
      <c r="G65" s="38"/>
      <c r="H65" s="38"/>
      <c r="I65" s="38"/>
    </row>
    <row r="66" customFormat="false" ht="37.5" hidden="false" customHeight="true" outlineLevel="0" collapsed="false">
      <c r="A66" s="40" t="n">
        <v>62</v>
      </c>
      <c r="B66" s="41" t="s">
        <v>1466</v>
      </c>
      <c r="C66" s="42" t="s">
        <v>1467</v>
      </c>
      <c r="D66" s="39"/>
      <c r="E66" s="43"/>
      <c r="F66" s="42"/>
      <c r="G66" s="42"/>
      <c r="H66" s="42"/>
      <c r="I66" s="42"/>
    </row>
    <row r="67" customFormat="false" ht="37.5" hidden="false" customHeight="true" outlineLevel="0" collapsed="false">
      <c r="A67" s="36" t="n">
        <v>63</v>
      </c>
      <c r="B67" s="37" t="s">
        <v>1468</v>
      </c>
      <c r="C67" s="38" t="s">
        <v>984</v>
      </c>
      <c r="D67" s="39"/>
      <c r="E67" s="39"/>
      <c r="F67" s="38"/>
      <c r="G67" s="38"/>
      <c r="H67" s="38"/>
      <c r="I67" s="38"/>
    </row>
    <row r="68" customFormat="false" ht="37.5" hidden="false" customHeight="true" outlineLevel="0" collapsed="false">
      <c r="A68" s="40" t="n">
        <v>64</v>
      </c>
      <c r="B68" s="41" t="s">
        <v>1469</v>
      </c>
      <c r="C68" s="42" t="s">
        <v>986</v>
      </c>
      <c r="D68" s="39"/>
      <c r="E68" s="43"/>
      <c r="F68" s="42"/>
      <c r="G68" s="42"/>
      <c r="H68" s="42"/>
      <c r="I68" s="42"/>
    </row>
    <row r="69" customFormat="false" ht="37.5" hidden="false" customHeight="true" outlineLevel="0" collapsed="false">
      <c r="A69" s="36" t="n">
        <v>65</v>
      </c>
      <c r="B69" s="37" t="s">
        <v>1470</v>
      </c>
      <c r="C69" s="38" t="s">
        <v>1471</v>
      </c>
      <c r="D69" s="39"/>
      <c r="E69" s="39"/>
      <c r="F69" s="38"/>
      <c r="G69" s="38"/>
      <c r="H69" s="38"/>
      <c r="I69" s="38"/>
    </row>
    <row r="70" customFormat="false" ht="37.5" hidden="false" customHeight="true" outlineLevel="0" collapsed="false">
      <c r="A70" s="40" t="n">
        <v>66</v>
      </c>
      <c r="B70" s="41" t="s">
        <v>1472</v>
      </c>
      <c r="C70" s="42" t="s">
        <v>1473</v>
      </c>
      <c r="D70" s="39"/>
      <c r="E70" s="43"/>
      <c r="F70" s="42"/>
      <c r="G70" s="42"/>
      <c r="H70" s="42"/>
      <c r="I70" s="42"/>
    </row>
    <row r="71" customFormat="false" ht="37.5" hidden="false" customHeight="true" outlineLevel="0" collapsed="false">
      <c r="A71" s="36" t="n">
        <v>67</v>
      </c>
      <c r="B71" s="37" t="s">
        <v>1474</v>
      </c>
      <c r="C71" s="38" t="s">
        <v>1475</v>
      </c>
      <c r="D71" s="39"/>
      <c r="E71" s="39"/>
      <c r="F71" s="38"/>
      <c r="G71" s="38"/>
      <c r="H71" s="38"/>
      <c r="I71" s="38"/>
    </row>
    <row r="72" customFormat="false" ht="37.5" hidden="false" customHeight="true" outlineLevel="0" collapsed="false">
      <c r="A72" s="40" t="n">
        <v>68</v>
      </c>
      <c r="B72" s="41" t="s">
        <v>1476</v>
      </c>
      <c r="C72" s="42" t="s">
        <v>1010</v>
      </c>
      <c r="D72" s="39"/>
      <c r="E72" s="43"/>
      <c r="F72" s="42"/>
      <c r="G72" s="42"/>
      <c r="H72" s="42"/>
      <c r="I72" s="42"/>
    </row>
    <row r="73" customFormat="false" ht="37.5" hidden="false" customHeight="true" outlineLevel="0" collapsed="false">
      <c r="A73" s="36" t="n">
        <v>69</v>
      </c>
      <c r="B73" s="37" t="s">
        <v>1477</v>
      </c>
      <c r="C73" s="38" t="s">
        <v>1014</v>
      </c>
      <c r="D73" s="39"/>
      <c r="E73" s="39"/>
      <c r="F73" s="38"/>
      <c r="G73" s="38"/>
      <c r="H73" s="38"/>
      <c r="I73" s="38"/>
    </row>
    <row r="74" customFormat="false" ht="37.5" hidden="false" customHeight="true" outlineLevel="0" collapsed="false">
      <c r="A74" s="40" t="n">
        <v>70</v>
      </c>
      <c r="B74" s="41" t="s">
        <v>1478</v>
      </c>
      <c r="C74" s="42" t="s">
        <v>1479</v>
      </c>
      <c r="D74" s="39"/>
      <c r="E74" s="43"/>
      <c r="F74" s="42"/>
      <c r="G74" s="42"/>
      <c r="H74" s="42"/>
      <c r="I74" s="42"/>
    </row>
    <row r="75" customFormat="false" ht="37.5" hidden="false" customHeight="true" outlineLevel="0" collapsed="false">
      <c r="A75" s="36" t="n">
        <v>71</v>
      </c>
      <c r="B75" s="37" t="s">
        <v>1480</v>
      </c>
      <c r="C75" s="38" t="s">
        <v>1481</v>
      </c>
      <c r="D75" s="39"/>
      <c r="E75" s="39"/>
      <c r="F75" s="38"/>
      <c r="G75" s="38"/>
      <c r="H75" s="38"/>
      <c r="I75" s="38"/>
    </row>
    <row r="76" customFormat="false" ht="37.5" hidden="false" customHeight="true" outlineLevel="0" collapsed="false">
      <c r="A76" s="40" t="n">
        <v>72</v>
      </c>
      <c r="B76" s="41" t="s">
        <v>1482</v>
      </c>
      <c r="C76" s="42" t="s">
        <v>1483</v>
      </c>
      <c r="D76" s="39"/>
      <c r="E76" s="43"/>
      <c r="F76" s="42"/>
      <c r="G76" s="42"/>
      <c r="H76" s="42"/>
      <c r="I76" s="42"/>
    </row>
    <row r="77" customFormat="false" ht="37.5" hidden="false" customHeight="true" outlineLevel="0" collapsed="false">
      <c r="A77" s="36" t="n">
        <v>73</v>
      </c>
      <c r="B77" s="37" t="s">
        <v>1484</v>
      </c>
      <c r="C77" s="38" t="s">
        <v>1485</v>
      </c>
      <c r="D77" s="39"/>
      <c r="E77" s="39"/>
      <c r="F77" s="38"/>
      <c r="G77" s="38"/>
      <c r="H77" s="38"/>
      <c r="I77" s="38"/>
    </row>
    <row r="78" customFormat="false" ht="37.5" hidden="false" customHeight="true" outlineLevel="0" collapsed="false">
      <c r="A78" s="40" t="n">
        <v>74</v>
      </c>
      <c r="B78" s="41" t="s">
        <v>1486</v>
      </c>
      <c r="C78" s="42" t="s">
        <v>1487</v>
      </c>
      <c r="D78" s="39"/>
      <c r="E78" s="43"/>
      <c r="F78" s="42"/>
      <c r="G78" s="42"/>
      <c r="H78" s="42"/>
      <c r="I78" s="42"/>
    </row>
    <row r="79" customFormat="false" ht="37.5" hidden="false" customHeight="true" outlineLevel="0" collapsed="false">
      <c r="A79" s="36" t="n">
        <v>75</v>
      </c>
      <c r="B79" s="37" t="s">
        <v>1488</v>
      </c>
      <c r="C79" s="38" t="s">
        <v>1489</v>
      </c>
      <c r="D79" s="39"/>
      <c r="E79" s="39"/>
      <c r="F79" s="38"/>
      <c r="G79" s="38"/>
      <c r="H79" s="38"/>
      <c r="I79" s="38"/>
    </row>
    <row r="80" customFormat="false" ht="37.5" hidden="false" customHeight="true" outlineLevel="0" collapsed="false">
      <c r="A80" s="40" t="n">
        <v>76</v>
      </c>
      <c r="B80" s="41" t="s">
        <v>1490</v>
      </c>
      <c r="C80" s="42" t="s">
        <v>1491</v>
      </c>
      <c r="D80" s="39"/>
      <c r="E80" s="43"/>
      <c r="F80" s="42"/>
      <c r="G80" s="42"/>
      <c r="H80" s="42"/>
      <c r="I80" s="42"/>
    </row>
    <row r="81" customFormat="false" ht="37.5" hidden="false" customHeight="true" outlineLevel="0" collapsed="false">
      <c r="A81" s="36" t="n">
        <v>77</v>
      </c>
      <c r="B81" s="37" t="s">
        <v>1492</v>
      </c>
      <c r="C81" s="38" t="s">
        <v>1493</v>
      </c>
      <c r="D81" s="39"/>
      <c r="E81" s="39"/>
      <c r="F81" s="38"/>
      <c r="G81" s="38"/>
      <c r="H81" s="38"/>
      <c r="I81" s="38"/>
    </row>
    <row r="82" customFormat="false" ht="37.5" hidden="false" customHeight="true" outlineLevel="0" collapsed="false">
      <c r="A82" s="40" t="n">
        <v>78</v>
      </c>
      <c r="B82" s="41" t="s">
        <v>1494</v>
      </c>
      <c r="C82" s="42" t="s">
        <v>1495</v>
      </c>
      <c r="D82" s="39"/>
      <c r="E82" s="43"/>
      <c r="F82" s="42"/>
      <c r="G82" s="42"/>
      <c r="H82" s="42"/>
      <c r="I82" s="42"/>
    </row>
    <row r="83" customFormat="false" ht="37.5" hidden="false" customHeight="true" outlineLevel="0" collapsed="false">
      <c r="A83" s="36" t="n">
        <v>79</v>
      </c>
      <c r="B83" s="37" t="s">
        <v>1496</v>
      </c>
      <c r="C83" s="38" t="s">
        <v>1497</v>
      </c>
      <c r="D83" s="39"/>
      <c r="E83" s="39"/>
      <c r="F83" s="38"/>
      <c r="G83" s="38"/>
      <c r="H83" s="38"/>
      <c r="I83" s="38"/>
    </row>
    <row r="84" customFormat="false" ht="37.5" hidden="false" customHeight="true" outlineLevel="0" collapsed="false">
      <c r="A84" s="40" t="n">
        <v>80</v>
      </c>
      <c r="B84" s="41" t="s">
        <v>1498</v>
      </c>
      <c r="C84" s="42" t="s">
        <v>1499</v>
      </c>
      <c r="D84" s="39"/>
      <c r="E84" s="43"/>
      <c r="F84" s="42"/>
      <c r="G84" s="42"/>
      <c r="H84" s="42"/>
      <c r="I84" s="42"/>
    </row>
    <row r="85" customFormat="false" ht="37.5" hidden="false" customHeight="true" outlineLevel="0" collapsed="false">
      <c r="A85" s="36" t="n">
        <v>81</v>
      </c>
      <c r="B85" s="37" t="s">
        <v>1500</v>
      </c>
      <c r="C85" s="38" t="s">
        <v>1501</v>
      </c>
      <c r="D85" s="39"/>
      <c r="E85" s="39"/>
      <c r="F85" s="38"/>
      <c r="G85" s="38"/>
      <c r="H85" s="38"/>
      <c r="I85" s="38"/>
    </row>
    <row r="86" customFormat="false" ht="37.5" hidden="false" customHeight="true" outlineLevel="0" collapsed="false">
      <c r="A86" s="40" t="n">
        <v>82</v>
      </c>
      <c r="B86" s="41" t="s">
        <v>1502</v>
      </c>
      <c r="C86" s="42" t="s">
        <v>1503</v>
      </c>
      <c r="D86" s="39"/>
      <c r="E86" s="43"/>
      <c r="F86" s="42"/>
      <c r="G86" s="42"/>
      <c r="H86" s="42"/>
      <c r="I86" s="42"/>
    </row>
    <row r="87" customFormat="false" ht="37.5" hidden="false" customHeight="true" outlineLevel="0" collapsed="false">
      <c r="A87" s="36" t="n">
        <v>83</v>
      </c>
      <c r="B87" s="37" t="s">
        <v>1504</v>
      </c>
      <c r="C87" s="38" t="s">
        <v>1505</v>
      </c>
      <c r="D87" s="39"/>
      <c r="E87" s="39"/>
      <c r="F87" s="38"/>
      <c r="G87" s="38"/>
      <c r="H87" s="38"/>
      <c r="I87" s="38"/>
    </row>
    <row r="88" customFormat="false" ht="37.5" hidden="false" customHeight="true" outlineLevel="0" collapsed="false">
      <c r="A88" s="40" t="n">
        <v>84</v>
      </c>
      <c r="B88" s="41" t="s">
        <v>1506</v>
      </c>
      <c r="C88" s="42" t="s">
        <v>1507</v>
      </c>
      <c r="D88" s="39"/>
      <c r="E88" s="43"/>
      <c r="F88" s="42"/>
      <c r="G88" s="42"/>
      <c r="H88" s="42"/>
      <c r="I88" s="42"/>
    </row>
    <row r="89" customFormat="false" ht="37.5" hidden="false" customHeight="true" outlineLevel="0" collapsed="false">
      <c r="A89" s="36" t="n">
        <v>85</v>
      </c>
      <c r="B89" s="37" t="s">
        <v>1508</v>
      </c>
      <c r="C89" s="38" t="s">
        <v>1509</v>
      </c>
      <c r="D89" s="39"/>
      <c r="E89" s="39"/>
      <c r="F89" s="38"/>
      <c r="G89" s="38"/>
      <c r="H89" s="38"/>
      <c r="I89" s="38"/>
    </row>
    <row r="90" customFormat="false" ht="37.5" hidden="false" customHeight="true" outlineLevel="0" collapsed="false">
      <c r="A90" s="40" t="n">
        <v>86</v>
      </c>
      <c r="B90" s="41" t="s">
        <v>1510</v>
      </c>
      <c r="C90" s="42" t="s">
        <v>1511</v>
      </c>
      <c r="D90" s="39"/>
      <c r="E90" s="43"/>
      <c r="F90" s="42"/>
      <c r="G90" s="42"/>
      <c r="H90" s="42"/>
      <c r="I90" s="42"/>
    </row>
    <row r="91" customFormat="false" ht="37.5" hidden="false" customHeight="true" outlineLevel="0" collapsed="false">
      <c r="A91" s="36" t="n">
        <v>87</v>
      </c>
      <c r="B91" s="37" t="s">
        <v>1512</v>
      </c>
      <c r="C91" s="38" t="s">
        <v>1513</v>
      </c>
      <c r="D91" s="39"/>
      <c r="E91" s="39"/>
      <c r="F91" s="38"/>
      <c r="G91" s="38"/>
      <c r="H91" s="38"/>
      <c r="I91" s="38"/>
    </row>
    <row r="92" customFormat="false" ht="37.5" hidden="false" customHeight="true" outlineLevel="0" collapsed="false">
      <c r="A92" s="40" t="n">
        <v>88</v>
      </c>
      <c r="B92" s="41" t="s">
        <v>1514</v>
      </c>
      <c r="C92" s="42" t="s">
        <v>1515</v>
      </c>
      <c r="D92" s="39"/>
      <c r="E92" s="43"/>
      <c r="F92" s="42"/>
      <c r="G92" s="42"/>
      <c r="H92" s="42"/>
      <c r="I92" s="42"/>
    </row>
    <row r="93" customFormat="false" ht="37.5" hidden="false" customHeight="true" outlineLevel="0" collapsed="false">
      <c r="A93" s="36" t="n">
        <v>89</v>
      </c>
      <c r="B93" s="37" t="s">
        <v>1516</v>
      </c>
      <c r="C93" s="38" t="s">
        <v>1517</v>
      </c>
      <c r="D93" s="39"/>
      <c r="E93" s="39"/>
      <c r="F93" s="38"/>
      <c r="G93" s="38"/>
      <c r="H93" s="38"/>
      <c r="I93" s="38"/>
    </row>
    <row r="94" customFormat="false" ht="37.5" hidden="false" customHeight="true" outlineLevel="0" collapsed="false">
      <c r="A94" s="40" t="n">
        <v>90</v>
      </c>
      <c r="B94" s="41" t="s">
        <v>1518</v>
      </c>
      <c r="C94" s="42" t="s">
        <v>1519</v>
      </c>
      <c r="D94" s="39"/>
      <c r="E94" s="43"/>
      <c r="F94" s="42"/>
      <c r="G94" s="42"/>
      <c r="H94" s="42"/>
      <c r="I94" s="42"/>
    </row>
    <row r="95" customFormat="false" ht="37.5" hidden="false" customHeight="true" outlineLevel="0" collapsed="false">
      <c r="A95" s="36" t="n">
        <v>91</v>
      </c>
      <c r="B95" s="37" t="s">
        <v>1520</v>
      </c>
      <c r="C95" s="38" t="s">
        <v>1521</v>
      </c>
      <c r="D95" s="39"/>
      <c r="E95" s="39"/>
      <c r="F95" s="38"/>
      <c r="G95" s="38"/>
      <c r="H95" s="38"/>
      <c r="I95" s="38"/>
    </row>
  </sheetData>
  <autoFilter ref="A4:I95"/>
  <mergeCells count="2">
    <mergeCell ref="A1:I1"/>
    <mergeCell ref="A2:I2"/>
  </mergeCells>
  <conditionalFormatting sqref="D5:D95">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5"/>
    <col collapsed="false" customWidth="true" hidden="false" outlineLevel="0" max="5" min="4" style="0" width="14"/>
    <col collapsed="false" customWidth="true" hidden="false" outlineLevel="0" max="6" min="6" style="0" width="18"/>
    <col collapsed="false" customWidth="true" hidden="false" outlineLevel="0" max="7" min="7" style="0" width="30"/>
    <col collapsed="false" customWidth="true" hidden="false" outlineLevel="0" max="8" min="8" style="0" width="25"/>
    <col collapsed="false" customWidth="true" hidden="false" outlineLevel="0" max="9" min="9" style="0" width="35"/>
  </cols>
  <sheetData>
    <row r="1" customFormat="false" ht="30" hidden="false" customHeight="true" outlineLevel="0" collapsed="false">
      <c r="A1" s="35" t="s">
        <v>1522</v>
      </c>
      <c r="B1" s="35"/>
      <c r="C1" s="35"/>
      <c r="D1" s="35"/>
      <c r="E1" s="35"/>
      <c r="F1" s="35"/>
      <c r="G1" s="35"/>
      <c r="H1" s="35"/>
      <c r="I1" s="35"/>
    </row>
    <row r="2" customFormat="false" ht="19.5" hidden="false" customHeight="true" outlineLevel="0" collapsed="false">
      <c r="A2" s="18" t="s">
        <v>1523</v>
      </c>
      <c r="B2" s="18"/>
      <c r="C2" s="18"/>
      <c r="D2" s="18"/>
      <c r="E2" s="18"/>
      <c r="F2" s="18"/>
      <c r="G2" s="18"/>
      <c r="H2" s="18"/>
      <c r="I2" s="18"/>
    </row>
    <row r="4" customFormat="false" ht="27.75" hidden="false" customHeight="true" outlineLevel="0" collapsed="false">
      <c r="A4" s="19" t="s">
        <v>87</v>
      </c>
      <c r="B4" s="19" t="s">
        <v>88</v>
      </c>
      <c r="C4" s="19" t="s">
        <v>89</v>
      </c>
      <c r="D4" s="19" t="s">
        <v>90</v>
      </c>
      <c r="E4" s="19" t="s">
        <v>91</v>
      </c>
      <c r="F4" s="19" t="s">
        <v>92</v>
      </c>
      <c r="G4" s="19" t="s">
        <v>93</v>
      </c>
      <c r="H4" s="19" t="s">
        <v>94</v>
      </c>
      <c r="I4" s="19" t="s">
        <v>95</v>
      </c>
    </row>
    <row r="5" customFormat="false" ht="37.5" hidden="false" customHeight="true" outlineLevel="0" collapsed="false">
      <c r="A5" s="36" t="n">
        <v>1</v>
      </c>
      <c r="B5" s="37" t="s">
        <v>1524</v>
      </c>
      <c r="C5" s="38" t="s">
        <v>1525</v>
      </c>
      <c r="D5" s="39"/>
      <c r="E5" s="39"/>
      <c r="F5" s="38"/>
      <c r="G5" s="38"/>
      <c r="H5" s="38"/>
      <c r="I5" s="38"/>
    </row>
    <row r="6" customFormat="false" ht="37.5" hidden="false" customHeight="true" outlineLevel="0" collapsed="false">
      <c r="A6" s="40" t="n">
        <v>2</v>
      </c>
      <c r="B6" s="41" t="s">
        <v>1526</v>
      </c>
      <c r="C6" s="42" t="s">
        <v>1527</v>
      </c>
      <c r="D6" s="39"/>
      <c r="E6" s="43"/>
      <c r="F6" s="42"/>
      <c r="G6" s="42"/>
      <c r="H6" s="42"/>
      <c r="I6" s="42"/>
    </row>
    <row r="7" customFormat="false" ht="37.5" hidden="false" customHeight="true" outlineLevel="0" collapsed="false">
      <c r="A7" s="36" t="n">
        <v>3</v>
      </c>
      <c r="B7" s="37" t="s">
        <v>1528</v>
      </c>
      <c r="C7" s="38" t="s">
        <v>1529</v>
      </c>
      <c r="D7" s="39"/>
      <c r="E7" s="39"/>
      <c r="F7" s="38"/>
      <c r="G7" s="38"/>
      <c r="H7" s="38"/>
      <c r="I7" s="38"/>
    </row>
    <row r="8" customFormat="false" ht="37.5" hidden="false" customHeight="true" outlineLevel="0" collapsed="false">
      <c r="A8" s="40" t="n">
        <v>4</v>
      </c>
      <c r="B8" s="41" t="s">
        <v>1530</v>
      </c>
      <c r="C8" s="42" t="s">
        <v>1531</v>
      </c>
      <c r="D8" s="39"/>
      <c r="E8" s="43"/>
      <c r="F8" s="42"/>
      <c r="G8" s="42"/>
      <c r="H8" s="42"/>
      <c r="I8" s="42"/>
    </row>
    <row r="9" customFormat="false" ht="37.5" hidden="false" customHeight="true" outlineLevel="0" collapsed="false">
      <c r="A9" s="36" t="n">
        <v>5</v>
      </c>
      <c r="B9" s="37" t="s">
        <v>1532</v>
      </c>
      <c r="C9" s="38" t="s">
        <v>1533</v>
      </c>
      <c r="D9" s="39"/>
      <c r="E9" s="39"/>
      <c r="F9" s="38"/>
      <c r="G9" s="38"/>
      <c r="H9" s="38"/>
      <c r="I9" s="38"/>
    </row>
    <row r="10" customFormat="false" ht="37.5" hidden="false" customHeight="true" outlineLevel="0" collapsed="false">
      <c r="A10" s="40" t="n">
        <v>6</v>
      </c>
      <c r="B10" s="41" t="s">
        <v>1534</v>
      </c>
      <c r="C10" s="42" t="s">
        <v>1535</v>
      </c>
      <c r="D10" s="39"/>
      <c r="E10" s="43"/>
      <c r="F10" s="42"/>
      <c r="G10" s="42"/>
      <c r="H10" s="42"/>
      <c r="I10" s="42"/>
    </row>
    <row r="11" customFormat="false" ht="37.5" hidden="false" customHeight="true" outlineLevel="0" collapsed="false">
      <c r="A11" s="36" t="n">
        <v>7</v>
      </c>
      <c r="B11" s="37" t="s">
        <v>1536</v>
      </c>
      <c r="C11" s="38" t="s">
        <v>1537</v>
      </c>
      <c r="D11" s="39"/>
      <c r="E11" s="39"/>
      <c r="F11" s="38"/>
      <c r="G11" s="38"/>
      <c r="H11" s="38"/>
      <c r="I11" s="38"/>
    </row>
    <row r="12" customFormat="false" ht="37.5" hidden="false" customHeight="true" outlineLevel="0" collapsed="false">
      <c r="A12" s="40" t="n">
        <v>8</v>
      </c>
      <c r="B12" s="41" t="s">
        <v>1538</v>
      </c>
      <c r="C12" s="42" t="s">
        <v>1539</v>
      </c>
      <c r="D12" s="39"/>
      <c r="E12" s="43"/>
      <c r="F12" s="42"/>
      <c r="G12" s="42"/>
      <c r="H12" s="42"/>
      <c r="I12" s="42"/>
    </row>
    <row r="13" customFormat="false" ht="37.5" hidden="false" customHeight="true" outlineLevel="0" collapsed="false">
      <c r="A13" s="36" t="n">
        <v>9</v>
      </c>
      <c r="B13" s="37" t="s">
        <v>1540</v>
      </c>
      <c r="C13" s="38" t="s">
        <v>1541</v>
      </c>
      <c r="D13" s="39"/>
      <c r="E13" s="39"/>
      <c r="F13" s="38"/>
      <c r="G13" s="38"/>
      <c r="H13" s="38"/>
      <c r="I13" s="38"/>
    </row>
    <row r="14" customFormat="false" ht="37.5" hidden="false" customHeight="true" outlineLevel="0" collapsed="false">
      <c r="A14" s="40" t="n">
        <v>10</v>
      </c>
      <c r="B14" s="41" t="s">
        <v>1542</v>
      </c>
      <c r="C14" s="42" t="s">
        <v>1543</v>
      </c>
      <c r="D14" s="39"/>
      <c r="E14" s="43"/>
      <c r="F14" s="42"/>
      <c r="G14" s="42"/>
      <c r="H14" s="42"/>
      <c r="I14" s="42"/>
    </row>
    <row r="15" customFormat="false" ht="37.5" hidden="false" customHeight="true" outlineLevel="0" collapsed="false">
      <c r="A15" s="36" t="n">
        <v>11</v>
      </c>
      <c r="B15" s="37" t="s">
        <v>1544</v>
      </c>
      <c r="C15" s="38" t="s">
        <v>1545</v>
      </c>
      <c r="D15" s="39"/>
      <c r="E15" s="39"/>
      <c r="F15" s="38"/>
      <c r="G15" s="38"/>
      <c r="H15" s="38"/>
      <c r="I15" s="38"/>
    </row>
    <row r="16" customFormat="false" ht="37.5" hidden="false" customHeight="true" outlineLevel="0" collapsed="false">
      <c r="A16" s="40" t="n">
        <v>12</v>
      </c>
      <c r="B16" s="41" t="s">
        <v>1546</v>
      </c>
      <c r="C16" s="42" t="s">
        <v>1547</v>
      </c>
      <c r="D16" s="39"/>
      <c r="E16" s="43"/>
      <c r="F16" s="42"/>
      <c r="G16" s="42"/>
      <c r="H16" s="42"/>
      <c r="I16" s="42"/>
    </row>
    <row r="17" customFormat="false" ht="37.5" hidden="false" customHeight="true" outlineLevel="0" collapsed="false">
      <c r="A17" s="36" t="n">
        <v>13</v>
      </c>
      <c r="B17" s="37" t="s">
        <v>1548</v>
      </c>
      <c r="C17" s="38" t="s">
        <v>1549</v>
      </c>
      <c r="D17" s="39"/>
      <c r="E17" s="39"/>
      <c r="F17" s="38"/>
      <c r="G17" s="38"/>
      <c r="H17" s="38"/>
      <c r="I17" s="38"/>
    </row>
    <row r="18" customFormat="false" ht="37.5" hidden="false" customHeight="true" outlineLevel="0" collapsed="false">
      <c r="A18" s="40" t="n">
        <v>14</v>
      </c>
      <c r="B18" s="41" t="s">
        <v>1550</v>
      </c>
      <c r="C18" s="42" t="s">
        <v>1551</v>
      </c>
      <c r="D18" s="39"/>
      <c r="E18" s="43"/>
      <c r="F18" s="42"/>
      <c r="G18" s="42"/>
      <c r="H18" s="42"/>
      <c r="I18" s="42"/>
    </row>
    <row r="19" customFormat="false" ht="37.5" hidden="false" customHeight="true" outlineLevel="0" collapsed="false">
      <c r="A19" s="36" t="n">
        <v>15</v>
      </c>
      <c r="B19" s="37" t="s">
        <v>1552</v>
      </c>
      <c r="C19" s="38" t="s">
        <v>1553</v>
      </c>
      <c r="D19" s="39"/>
      <c r="E19" s="39"/>
      <c r="F19" s="38"/>
      <c r="G19" s="38"/>
      <c r="H19" s="38"/>
      <c r="I19" s="38"/>
    </row>
    <row r="20" customFormat="false" ht="37.5" hidden="false" customHeight="true" outlineLevel="0" collapsed="false">
      <c r="A20" s="40" t="n">
        <v>16</v>
      </c>
      <c r="B20" s="41" t="s">
        <v>1554</v>
      </c>
      <c r="C20" s="42" t="s">
        <v>1555</v>
      </c>
      <c r="D20" s="39"/>
      <c r="E20" s="43"/>
      <c r="F20" s="42"/>
      <c r="G20" s="42"/>
      <c r="H20" s="42"/>
      <c r="I20" s="42"/>
    </row>
    <row r="21" customFormat="false" ht="37.5" hidden="false" customHeight="true" outlineLevel="0" collapsed="false">
      <c r="A21" s="36" t="n">
        <v>17</v>
      </c>
      <c r="B21" s="37" t="s">
        <v>1556</v>
      </c>
      <c r="C21" s="38" t="s">
        <v>1557</v>
      </c>
      <c r="D21" s="39"/>
      <c r="E21" s="39"/>
      <c r="F21" s="38"/>
      <c r="G21" s="38"/>
      <c r="H21" s="38"/>
      <c r="I21" s="38"/>
    </row>
    <row r="22" customFormat="false" ht="37.5" hidden="false" customHeight="true" outlineLevel="0" collapsed="false">
      <c r="A22" s="40" t="n">
        <v>18</v>
      </c>
      <c r="B22" s="41" t="s">
        <v>1558</v>
      </c>
      <c r="C22" s="42" t="s">
        <v>1559</v>
      </c>
      <c r="D22" s="39"/>
      <c r="E22" s="43"/>
      <c r="F22" s="42"/>
      <c r="G22" s="42"/>
      <c r="H22" s="42"/>
      <c r="I22" s="42"/>
    </row>
    <row r="23" customFormat="false" ht="37.5" hidden="false" customHeight="true" outlineLevel="0" collapsed="false">
      <c r="A23" s="36" t="n">
        <v>19</v>
      </c>
      <c r="B23" s="37" t="s">
        <v>1560</v>
      </c>
      <c r="C23" s="38" t="s">
        <v>1561</v>
      </c>
      <c r="D23" s="39"/>
      <c r="E23" s="39"/>
      <c r="F23" s="38"/>
      <c r="G23" s="38"/>
      <c r="H23" s="38"/>
      <c r="I23" s="38"/>
    </row>
    <row r="24" customFormat="false" ht="37.5" hidden="false" customHeight="true" outlineLevel="0" collapsed="false">
      <c r="A24" s="40" t="n">
        <v>20</v>
      </c>
      <c r="B24" s="41" t="s">
        <v>1562</v>
      </c>
      <c r="C24" s="42" t="s">
        <v>1563</v>
      </c>
      <c r="D24" s="39"/>
      <c r="E24" s="43"/>
      <c r="F24" s="42"/>
      <c r="G24" s="42"/>
      <c r="H24" s="42"/>
      <c r="I24" s="42"/>
    </row>
    <row r="25" customFormat="false" ht="37.5" hidden="false" customHeight="true" outlineLevel="0" collapsed="false">
      <c r="A25" s="36" t="n">
        <v>21</v>
      </c>
      <c r="B25" s="37" t="s">
        <v>1564</v>
      </c>
      <c r="C25" s="38" t="s">
        <v>1565</v>
      </c>
      <c r="D25" s="39"/>
      <c r="E25" s="39"/>
      <c r="F25" s="38"/>
      <c r="G25" s="38"/>
      <c r="H25" s="38"/>
      <c r="I25" s="38"/>
    </row>
    <row r="26" customFormat="false" ht="37.5" hidden="false" customHeight="true" outlineLevel="0" collapsed="false">
      <c r="A26" s="40" t="n">
        <v>22</v>
      </c>
      <c r="B26" s="41" t="s">
        <v>1566</v>
      </c>
      <c r="C26" s="42" t="s">
        <v>1567</v>
      </c>
      <c r="D26" s="39"/>
      <c r="E26" s="43"/>
      <c r="F26" s="42"/>
      <c r="G26" s="42"/>
      <c r="H26" s="42"/>
      <c r="I26" s="42"/>
    </row>
    <row r="27" customFormat="false" ht="37.5" hidden="false" customHeight="true" outlineLevel="0" collapsed="false">
      <c r="A27" s="36" t="n">
        <v>23</v>
      </c>
      <c r="B27" s="37" t="s">
        <v>1568</v>
      </c>
      <c r="C27" s="38" t="s">
        <v>1569</v>
      </c>
      <c r="D27" s="39"/>
      <c r="E27" s="39"/>
      <c r="F27" s="38"/>
      <c r="G27" s="38"/>
      <c r="H27" s="38"/>
      <c r="I27" s="38"/>
    </row>
    <row r="28" customFormat="false" ht="37.5" hidden="false" customHeight="true" outlineLevel="0" collapsed="false">
      <c r="A28" s="40" t="n">
        <v>24</v>
      </c>
      <c r="B28" s="41" t="s">
        <v>1570</v>
      </c>
      <c r="C28" s="42" t="s">
        <v>1571</v>
      </c>
      <c r="D28" s="39"/>
      <c r="E28" s="43"/>
      <c r="F28" s="42"/>
      <c r="G28" s="42"/>
      <c r="H28" s="42"/>
      <c r="I28" s="42"/>
    </row>
    <row r="29" customFormat="false" ht="37.5" hidden="false" customHeight="true" outlineLevel="0" collapsed="false">
      <c r="A29" s="36" t="n">
        <v>25</v>
      </c>
      <c r="B29" s="37" t="s">
        <v>1572</v>
      </c>
      <c r="C29" s="38" t="s">
        <v>1573</v>
      </c>
      <c r="D29" s="39"/>
      <c r="E29" s="39"/>
      <c r="F29" s="38"/>
      <c r="G29" s="38"/>
      <c r="H29" s="38"/>
      <c r="I29" s="38"/>
    </row>
    <row r="30" customFormat="false" ht="37.5" hidden="false" customHeight="true" outlineLevel="0" collapsed="false">
      <c r="A30" s="40" t="n">
        <v>26</v>
      </c>
      <c r="B30" s="41" t="s">
        <v>1574</v>
      </c>
      <c r="C30" s="42" t="s">
        <v>1575</v>
      </c>
      <c r="D30" s="39"/>
      <c r="E30" s="43"/>
      <c r="F30" s="42"/>
      <c r="G30" s="42"/>
      <c r="H30" s="42"/>
      <c r="I30" s="42"/>
    </row>
    <row r="31" customFormat="false" ht="37.5" hidden="false" customHeight="true" outlineLevel="0" collapsed="false">
      <c r="A31" s="36" t="n">
        <v>27</v>
      </c>
      <c r="B31" s="37" t="s">
        <v>1576</v>
      </c>
      <c r="C31" s="38" t="s">
        <v>1577</v>
      </c>
      <c r="D31" s="39"/>
      <c r="E31" s="39"/>
      <c r="F31" s="38"/>
      <c r="G31" s="38"/>
      <c r="H31" s="38"/>
      <c r="I31" s="38"/>
    </row>
    <row r="32" customFormat="false" ht="37.5" hidden="false" customHeight="true" outlineLevel="0" collapsed="false">
      <c r="A32" s="40" t="n">
        <v>28</v>
      </c>
      <c r="B32" s="41" t="s">
        <v>1578</v>
      </c>
      <c r="C32" s="42" t="s">
        <v>1579</v>
      </c>
      <c r="D32" s="39"/>
      <c r="E32" s="43"/>
      <c r="F32" s="42"/>
      <c r="G32" s="42"/>
      <c r="H32" s="42"/>
      <c r="I32" s="42"/>
    </row>
    <row r="33" customFormat="false" ht="37.5" hidden="false" customHeight="true" outlineLevel="0" collapsed="false">
      <c r="A33" s="36" t="n">
        <v>29</v>
      </c>
      <c r="B33" s="37" t="s">
        <v>1580</v>
      </c>
      <c r="C33" s="38" t="s">
        <v>1581</v>
      </c>
      <c r="D33" s="39"/>
      <c r="E33" s="39"/>
      <c r="F33" s="38"/>
      <c r="G33" s="38"/>
      <c r="H33" s="38"/>
      <c r="I33" s="38"/>
    </row>
    <row r="34" customFormat="false" ht="37.5" hidden="false" customHeight="true" outlineLevel="0" collapsed="false">
      <c r="A34" s="40" t="n">
        <v>30</v>
      </c>
      <c r="B34" s="41" t="s">
        <v>1582</v>
      </c>
      <c r="C34" s="42" t="s">
        <v>1583</v>
      </c>
      <c r="D34" s="39"/>
      <c r="E34" s="43"/>
      <c r="F34" s="42"/>
      <c r="G34" s="42"/>
      <c r="H34" s="42"/>
      <c r="I34" s="42"/>
    </row>
    <row r="35" customFormat="false" ht="37.5" hidden="false" customHeight="true" outlineLevel="0" collapsed="false">
      <c r="A35" s="36" t="n">
        <v>31</v>
      </c>
      <c r="B35" s="37" t="s">
        <v>1584</v>
      </c>
      <c r="C35" s="38" t="s">
        <v>1585</v>
      </c>
      <c r="D35" s="39"/>
      <c r="E35" s="39"/>
      <c r="F35" s="38"/>
      <c r="G35" s="38"/>
      <c r="H35" s="38"/>
      <c r="I35" s="38"/>
    </row>
    <row r="36" customFormat="false" ht="37.5" hidden="false" customHeight="true" outlineLevel="0" collapsed="false">
      <c r="A36" s="40" t="n">
        <v>32</v>
      </c>
      <c r="B36" s="41" t="s">
        <v>1586</v>
      </c>
      <c r="C36" s="42" t="s">
        <v>1587</v>
      </c>
      <c r="D36" s="39"/>
      <c r="E36" s="43"/>
      <c r="F36" s="42"/>
      <c r="G36" s="42"/>
      <c r="H36" s="42"/>
      <c r="I36" s="42"/>
    </row>
    <row r="37" customFormat="false" ht="37.5" hidden="false" customHeight="true" outlineLevel="0" collapsed="false">
      <c r="A37" s="36" t="n">
        <v>33</v>
      </c>
      <c r="B37" s="37" t="s">
        <v>1588</v>
      </c>
      <c r="C37" s="38" t="s">
        <v>1589</v>
      </c>
      <c r="D37" s="39"/>
      <c r="E37" s="39"/>
      <c r="F37" s="38"/>
      <c r="G37" s="38"/>
      <c r="H37" s="38"/>
      <c r="I37" s="38"/>
    </row>
    <row r="38" customFormat="false" ht="37.5" hidden="false" customHeight="true" outlineLevel="0" collapsed="false">
      <c r="A38" s="40" t="n">
        <v>34</v>
      </c>
      <c r="B38" s="41" t="s">
        <v>1590</v>
      </c>
      <c r="C38" s="42" t="s">
        <v>1591</v>
      </c>
      <c r="D38" s="39"/>
      <c r="E38" s="43"/>
      <c r="F38" s="42"/>
      <c r="G38" s="42"/>
      <c r="H38" s="42"/>
      <c r="I38" s="42"/>
    </row>
    <row r="39" customFormat="false" ht="37.5" hidden="false" customHeight="true" outlineLevel="0" collapsed="false">
      <c r="A39" s="36" t="n">
        <v>35</v>
      </c>
      <c r="B39" s="37" t="s">
        <v>1592</v>
      </c>
      <c r="C39" s="38" t="s">
        <v>1593</v>
      </c>
      <c r="D39" s="39"/>
      <c r="E39" s="39"/>
      <c r="F39" s="38"/>
      <c r="G39" s="38"/>
      <c r="H39" s="38"/>
      <c r="I39" s="38"/>
    </row>
    <row r="40" customFormat="false" ht="37.5" hidden="false" customHeight="true" outlineLevel="0" collapsed="false">
      <c r="A40" s="40" t="n">
        <v>36</v>
      </c>
      <c r="B40" s="41" t="s">
        <v>1594</v>
      </c>
      <c r="C40" s="42" t="s">
        <v>1595</v>
      </c>
      <c r="D40" s="39"/>
      <c r="E40" s="43"/>
      <c r="F40" s="42"/>
      <c r="G40" s="42"/>
      <c r="H40" s="42"/>
      <c r="I40" s="42"/>
    </row>
    <row r="41" customFormat="false" ht="37.5" hidden="false" customHeight="true" outlineLevel="0" collapsed="false">
      <c r="A41" s="36" t="n">
        <v>37</v>
      </c>
      <c r="B41" s="37" t="s">
        <v>1596</v>
      </c>
      <c r="C41" s="38" t="s">
        <v>1597</v>
      </c>
      <c r="D41" s="39"/>
      <c r="E41" s="39"/>
      <c r="F41" s="38"/>
      <c r="G41" s="38"/>
      <c r="H41" s="38"/>
      <c r="I41" s="38"/>
    </row>
    <row r="42" customFormat="false" ht="37.5" hidden="false" customHeight="true" outlineLevel="0" collapsed="false">
      <c r="A42" s="40" t="n">
        <v>38</v>
      </c>
      <c r="B42" s="41" t="s">
        <v>1598</v>
      </c>
      <c r="C42" s="42" t="s">
        <v>1599</v>
      </c>
      <c r="D42" s="39"/>
      <c r="E42" s="43"/>
      <c r="F42" s="42"/>
      <c r="G42" s="42"/>
      <c r="H42" s="42"/>
      <c r="I42" s="42"/>
    </row>
    <row r="43" customFormat="false" ht="37.5" hidden="false" customHeight="true" outlineLevel="0" collapsed="false">
      <c r="A43" s="36" t="n">
        <v>39</v>
      </c>
      <c r="B43" s="37" t="s">
        <v>1600</v>
      </c>
      <c r="C43" s="38" t="s">
        <v>1601</v>
      </c>
      <c r="D43" s="39"/>
      <c r="E43" s="39"/>
      <c r="F43" s="38"/>
      <c r="G43" s="38"/>
      <c r="H43" s="38"/>
      <c r="I43" s="38"/>
    </row>
    <row r="44" customFormat="false" ht="37.5" hidden="false" customHeight="true" outlineLevel="0" collapsed="false">
      <c r="A44" s="40" t="n">
        <v>40</v>
      </c>
      <c r="B44" s="41" t="s">
        <v>1602</v>
      </c>
      <c r="C44" s="42" t="s">
        <v>1603</v>
      </c>
      <c r="D44" s="39"/>
      <c r="E44" s="43"/>
      <c r="F44" s="42"/>
      <c r="G44" s="42"/>
      <c r="H44" s="42"/>
      <c r="I44" s="42"/>
    </row>
    <row r="45" customFormat="false" ht="37.5" hidden="false" customHeight="true" outlineLevel="0" collapsed="false">
      <c r="A45" s="36" t="n">
        <v>41</v>
      </c>
      <c r="B45" s="37" t="s">
        <v>1604</v>
      </c>
      <c r="C45" s="38" t="s">
        <v>1605</v>
      </c>
      <c r="D45" s="39"/>
      <c r="E45" s="39"/>
      <c r="F45" s="38"/>
      <c r="G45" s="38"/>
      <c r="H45" s="38"/>
      <c r="I45" s="38"/>
    </row>
    <row r="46" customFormat="false" ht="37.5" hidden="false" customHeight="true" outlineLevel="0" collapsed="false">
      <c r="A46" s="40" t="n">
        <v>42</v>
      </c>
      <c r="B46" s="41" t="s">
        <v>1606</v>
      </c>
      <c r="C46" s="42" t="s">
        <v>1607</v>
      </c>
      <c r="D46" s="39"/>
      <c r="E46" s="43"/>
      <c r="F46" s="42"/>
      <c r="G46" s="42"/>
      <c r="H46" s="42"/>
      <c r="I46" s="42"/>
    </row>
    <row r="47" customFormat="false" ht="37.5" hidden="false" customHeight="true" outlineLevel="0" collapsed="false">
      <c r="A47" s="36" t="n">
        <v>43</v>
      </c>
      <c r="B47" s="37" t="s">
        <v>1608</v>
      </c>
      <c r="C47" s="38" t="s">
        <v>1609</v>
      </c>
      <c r="D47" s="39"/>
      <c r="E47" s="39"/>
      <c r="F47" s="38"/>
      <c r="G47" s="38"/>
      <c r="H47" s="38"/>
      <c r="I47" s="38"/>
    </row>
    <row r="48" customFormat="false" ht="37.5" hidden="false" customHeight="true" outlineLevel="0" collapsed="false">
      <c r="A48" s="40" t="n">
        <v>44</v>
      </c>
      <c r="B48" s="41" t="s">
        <v>1610</v>
      </c>
      <c r="C48" s="42" t="s">
        <v>1611</v>
      </c>
      <c r="D48" s="39"/>
      <c r="E48" s="43"/>
      <c r="F48" s="42"/>
      <c r="G48" s="42"/>
      <c r="H48" s="42"/>
      <c r="I48" s="42"/>
    </row>
    <row r="49" customFormat="false" ht="37.5" hidden="false" customHeight="true" outlineLevel="0" collapsed="false">
      <c r="A49" s="36" t="n">
        <v>45</v>
      </c>
      <c r="B49" s="37" t="s">
        <v>1612</v>
      </c>
      <c r="C49" s="38" t="s">
        <v>1613</v>
      </c>
      <c r="D49" s="39"/>
      <c r="E49" s="39"/>
      <c r="F49" s="38"/>
      <c r="G49" s="38"/>
      <c r="H49" s="38"/>
      <c r="I49" s="38"/>
    </row>
    <row r="50" customFormat="false" ht="37.5" hidden="false" customHeight="true" outlineLevel="0" collapsed="false">
      <c r="A50" s="40" t="n">
        <v>46</v>
      </c>
      <c r="B50" s="41" t="s">
        <v>1614</v>
      </c>
      <c r="C50" s="42" t="s">
        <v>1615</v>
      </c>
      <c r="D50" s="39"/>
      <c r="E50" s="43"/>
      <c r="F50" s="42"/>
      <c r="G50" s="42"/>
      <c r="H50" s="42"/>
      <c r="I50" s="42"/>
    </row>
    <row r="51" customFormat="false" ht="37.5" hidden="false" customHeight="true" outlineLevel="0" collapsed="false">
      <c r="A51" s="36" t="n">
        <v>47</v>
      </c>
      <c r="B51" s="37" t="s">
        <v>1616</v>
      </c>
      <c r="C51" s="38" t="s">
        <v>1617</v>
      </c>
      <c r="D51" s="39"/>
      <c r="E51" s="39"/>
      <c r="F51" s="38"/>
      <c r="G51" s="38"/>
      <c r="H51" s="38"/>
      <c r="I51" s="38"/>
    </row>
    <row r="52" customFormat="false" ht="37.5" hidden="false" customHeight="true" outlineLevel="0" collapsed="false">
      <c r="A52" s="40" t="n">
        <v>48</v>
      </c>
      <c r="B52" s="41" t="s">
        <v>1618</v>
      </c>
      <c r="C52" s="42" t="s">
        <v>1619</v>
      </c>
      <c r="D52" s="39"/>
      <c r="E52" s="43"/>
      <c r="F52" s="42"/>
      <c r="G52" s="42"/>
      <c r="H52" s="42"/>
      <c r="I52" s="42"/>
    </row>
    <row r="53" customFormat="false" ht="37.5" hidden="false" customHeight="true" outlineLevel="0" collapsed="false">
      <c r="A53" s="36" t="n">
        <v>49</v>
      </c>
      <c r="B53" s="37" t="s">
        <v>1620</v>
      </c>
      <c r="C53" s="38" t="s">
        <v>1621</v>
      </c>
      <c r="D53" s="39"/>
      <c r="E53" s="39"/>
      <c r="F53" s="38"/>
      <c r="G53" s="38"/>
      <c r="H53" s="38"/>
      <c r="I53" s="38"/>
    </row>
    <row r="54" customFormat="false" ht="37.5" hidden="false" customHeight="true" outlineLevel="0" collapsed="false">
      <c r="A54" s="40" t="n">
        <v>50</v>
      </c>
      <c r="B54" s="41" t="s">
        <v>1622</v>
      </c>
      <c r="C54" s="42" t="s">
        <v>1623</v>
      </c>
      <c r="D54" s="39"/>
      <c r="E54" s="43"/>
      <c r="F54" s="42"/>
      <c r="G54" s="42"/>
      <c r="H54" s="42"/>
      <c r="I54" s="42"/>
    </row>
    <row r="55" customFormat="false" ht="37.5" hidden="false" customHeight="true" outlineLevel="0" collapsed="false">
      <c r="A55" s="36" t="n">
        <v>51</v>
      </c>
      <c r="B55" s="37" t="s">
        <v>1624</v>
      </c>
      <c r="C55" s="38" t="s">
        <v>1625</v>
      </c>
      <c r="D55" s="39"/>
      <c r="E55" s="39"/>
      <c r="F55" s="38"/>
      <c r="G55" s="38"/>
      <c r="H55" s="38"/>
      <c r="I55" s="38"/>
    </row>
    <row r="56" customFormat="false" ht="37.5" hidden="false" customHeight="true" outlineLevel="0" collapsed="false">
      <c r="A56" s="40" t="n">
        <v>52</v>
      </c>
      <c r="B56" s="41" t="s">
        <v>1626</v>
      </c>
      <c r="C56" s="42" t="s">
        <v>1627</v>
      </c>
      <c r="D56" s="39"/>
      <c r="E56" s="43"/>
      <c r="F56" s="42"/>
      <c r="G56" s="42"/>
      <c r="H56" s="42"/>
      <c r="I56" s="42"/>
    </row>
    <row r="57" customFormat="false" ht="37.5" hidden="false" customHeight="true" outlineLevel="0" collapsed="false">
      <c r="A57" s="36" t="n">
        <v>53</v>
      </c>
      <c r="B57" s="37" t="s">
        <v>1628</v>
      </c>
      <c r="C57" s="38" t="s">
        <v>1629</v>
      </c>
      <c r="D57" s="39"/>
      <c r="E57" s="39"/>
      <c r="F57" s="38"/>
      <c r="G57" s="38"/>
      <c r="H57" s="38"/>
      <c r="I57" s="38"/>
    </row>
    <row r="58" customFormat="false" ht="37.5" hidden="false" customHeight="true" outlineLevel="0" collapsed="false">
      <c r="A58" s="40" t="n">
        <v>54</v>
      </c>
      <c r="B58" s="41" t="s">
        <v>1630</v>
      </c>
      <c r="C58" s="42" t="s">
        <v>1631</v>
      </c>
      <c r="D58" s="39"/>
      <c r="E58" s="43"/>
      <c r="F58" s="42"/>
      <c r="G58" s="42"/>
      <c r="H58" s="42"/>
      <c r="I58" s="42"/>
    </row>
    <row r="59" customFormat="false" ht="37.5" hidden="false" customHeight="true" outlineLevel="0" collapsed="false">
      <c r="A59" s="36" t="n">
        <v>55</v>
      </c>
      <c r="B59" s="37" t="s">
        <v>1632</v>
      </c>
      <c r="C59" s="38" t="s">
        <v>1633</v>
      </c>
      <c r="D59" s="39"/>
      <c r="E59" s="39"/>
      <c r="F59" s="38"/>
      <c r="G59" s="38"/>
      <c r="H59" s="38"/>
      <c r="I59" s="38"/>
    </row>
    <row r="60" customFormat="false" ht="37.5" hidden="false" customHeight="true" outlineLevel="0" collapsed="false">
      <c r="A60" s="40" t="n">
        <v>56</v>
      </c>
      <c r="B60" s="41" t="s">
        <v>1634</v>
      </c>
      <c r="C60" s="42" t="s">
        <v>1635</v>
      </c>
      <c r="D60" s="39"/>
      <c r="E60" s="43"/>
      <c r="F60" s="42"/>
      <c r="G60" s="42"/>
      <c r="H60" s="42"/>
      <c r="I60" s="42"/>
    </row>
    <row r="61" customFormat="false" ht="37.5" hidden="false" customHeight="true" outlineLevel="0" collapsed="false">
      <c r="A61" s="36" t="n">
        <v>57</v>
      </c>
      <c r="B61" s="37" t="s">
        <v>1636</v>
      </c>
      <c r="C61" s="38" t="s">
        <v>1637</v>
      </c>
      <c r="D61" s="39"/>
      <c r="E61" s="39"/>
      <c r="F61" s="38"/>
      <c r="G61" s="38"/>
      <c r="H61" s="38"/>
      <c r="I61" s="38"/>
    </row>
    <row r="62" customFormat="false" ht="37.5" hidden="false" customHeight="true" outlineLevel="0" collapsed="false">
      <c r="A62" s="40" t="n">
        <v>58</v>
      </c>
      <c r="B62" s="41" t="s">
        <v>1638</v>
      </c>
      <c r="C62" s="42" t="s">
        <v>1639</v>
      </c>
      <c r="D62" s="39"/>
      <c r="E62" s="43"/>
      <c r="F62" s="42"/>
      <c r="G62" s="42"/>
      <c r="H62" s="42"/>
      <c r="I62" s="42"/>
    </row>
    <row r="63" customFormat="false" ht="37.5" hidden="false" customHeight="true" outlineLevel="0" collapsed="false">
      <c r="A63" s="36" t="n">
        <v>59</v>
      </c>
      <c r="B63" s="37" t="s">
        <v>1640</v>
      </c>
      <c r="C63" s="38" t="s">
        <v>1641</v>
      </c>
      <c r="D63" s="39"/>
      <c r="E63" s="39"/>
      <c r="F63" s="38"/>
      <c r="G63" s="38"/>
      <c r="H63" s="38"/>
      <c r="I63" s="38"/>
    </row>
    <row r="64" customFormat="false" ht="37.5" hidden="false" customHeight="true" outlineLevel="0" collapsed="false">
      <c r="A64" s="40" t="n">
        <v>60</v>
      </c>
      <c r="B64" s="41" t="s">
        <v>1642</v>
      </c>
      <c r="C64" s="42" t="s">
        <v>1643</v>
      </c>
      <c r="D64" s="39"/>
      <c r="E64" s="43"/>
      <c r="F64" s="42"/>
      <c r="G64" s="42"/>
      <c r="H64" s="42"/>
      <c r="I64" s="42"/>
    </row>
    <row r="65" customFormat="false" ht="37.5" hidden="false" customHeight="true" outlineLevel="0" collapsed="false">
      <c r="A65" s="36" t="n">
        <v>61</v>
      </c>
      <c r="B65" s="37" t="s">
        <v>1644</v>
      </c>
      <c r="C65" s="38" t="s">
        <v>1136</v>
      </c>
      <c r="D65" s="39"/>
      <c r="E65" s="39"/>
      <c r="F65" s="38"/>
      <c r="G65" s="38"/>
      <c r="H65" s="38"/>
      <c r="I65" s="38"/>
    </row>
    <row r="66" customFormat="false" ht="37.5" hidden="false" customHeight="true" outlineLevel="0" collapsed="false">
      <c r="A66" s="40" t="n">
        <v>62</v>
      </c>
      <c r="B66" s="41" t="s">
        <v>1645</v>
      </c>
      <c r="C66" s="42" t="s">
        <v>1646</v>
      </c>
      <c r="D66" s="39"/>
      <c r="E66" s="43"/>
      <c r="F66" s="42"/>
      <c r="G66" s="42"/>
      <c r="H66" s="42"/>
      <c r="I66" s="42"/>
    </row>
    <row r="67" customFormat="false" ht="37.5" hidden="false" customHeight="true" outlineLevel="0" collapsed="false">
      <c r="A67" s="36" t="n">
        <v>63</v>
      </c>
      <c r="B67" s="37" t="s">
        <v>1647</v>
      </c>
      <c r="C67" s="38" t="s">
        <v>1648</v>
      </c>
      <c r="D67" s="39"/>
      <c r="E67" s="39"/>
      <c r="F67" s="38"/>
      <c r="G67" s="38"/>
      <c r="H67" s="38"/>
      <c r="I67" s="38"/>
    </row>
    <row r="68" customFormat="false" ht="37.5" hidden="false" customHeight="true" outlineLevel="0" collapsed="false">
      <c r="A68" s="40" t="n">
        <v>64</v>
      </c>
      <c r="B68" s="41" t="s">
        <v>1649</v>
      </c>
      <c r="C68" s="42" t="s">
        <v>1650</v>
      </c>
      <c r="D68" s="39"/>
      <c r="E68" s="43"/>
      <c r="F68" s="42"/>
      <c r="G68" s="42"/>
      <c r="H68" s="42"/>
      <c r="I68" s="42"/>
    </row>
    <row r="69" customFormat="false" ht="37.5" hidden="false" customHeight="true" outlineLevel="0" collapsed="false">
      <c r="A69" s="36" t="n">
        <v>65</v>
      </c>
      <c r="B69" s="37" t="s">
        <v>1651</v>
      </c>
      <c r="C69" s="38" t="s">
        <v>1652</v>
      </c>
      <c r="D69" s="39"/>
      <c r="E69" s="39"/>
      <c r="F69" s="38"/>
      <c r="G69" s="38"/>
      <c r="H69" s="38"/>
      <c r="I69" s="38"/>
    </row>
    <row r="70" customFormat="false" ht="37.5" hidden="false" customHeight="true" outlineLevel="0" collapsed="false">
      <c r="A70" s="40" t="n">
        <v>66</v>
      </c>
      <c r="B70" s="41" t="s">
        <v>1653</v>
      </c>
      <c r="C70" s="42" t="s">
        <v>1654</v>
      </c>
      <c r="D70" s="39"/>
      <c r="E70" s="43"/>
      <c r="F70" s="42"/>
      <c r="G70" s="42"/>
      <c r="H70" s="42"/>
      <c r="I70" s="42"/>
    </row>
    <row r="71" customFormat="false" ht="37.5" hidden="false" customHeight="true" outlineLevel="0" collapsed="false">
      <c r="A71" s="36" t="n">
        <v>67</v>
      </c>
      <c r="B71" s="37" t="s">
        <v>1655</v>
      </c>
      <c r="C71" s="38" t="s">
        <v>1656</v>
      </c>
      <c r="D71" s="39"/>
      <c r="E71" s="39"/>
      <c r="F71" s="38"/>
      <c r="G71" s="38"/>
      <c r="H71" s="38"/>
      <c r="I71" s="38"/>
    </row>
    <row r="72" customFormat="false" ht="37.5" hidden="false" customHeight="true" outlineLevel="0" collapsed="false">
      <c r="A72" s="40" t="n">
        <v>68</v>
      </c>
      <c r="B72" s="41" t="s">
        <v>1657</v>
      </c>
      <c r="C72" s="42" t="s">
        <v>1658</v>
      </c>
      <c r="D72" s="39"/>
      <c r="E72" s="43"/>
      <c r="F72" s="42"/>
      <c r="G72" s="42"/>
      <c r="H72" s="42"/>
      <c r="I72" s="42"/>
    </row>
    <row r="73" customFormat="false" ht="37.5" hidden="false" customHeight="true" outlineLevel="0" collapsed="false">
      <c r="A73" s="36" t="n">
        <v>69</v>
      </c>
      <c r="B73" s="37" t="s">
        <v>1659</v>
      </c>
      <c r="C73" s="38" t="s">
        <v>1660</v>
      </c>
      <c r="D73" s="39"/>
      <c r="E73" s="39"/>
      <c r="F73" s="38"/>
      <c r="G73" s="38"/>
      <c r="H73" s="38"/>
      <c r="I73" s="38"/>
    </row>
    <row r="74" customFormat="false" ht="37.5" hidden="false" customHeight="true" outlineLevel="0" collapsed="false">
      <c r="A74" s="40" t="n">
        <v>70</v>
      </c>
      <c r="B74" s="41" t="s">
        <v>1661</v>
      </c>
      <c r="C74" s="42" t="s">
        <v>1662</v>
      </c>
      <c r="D74" s="39"/>
      <c r="E74" s="43"/>
      <c r="F74" s="42"/>
      <c r="G74" s="42"/>
      <c r="H74" s="42"/>
      <c r="I74" s="42"/>
    </row>
    <row r="75" customFormat="false" ht="37.5" hidden="false" customHeight="true" outlineLevel="0" collapsed="false">
      <c r="A75" s="36" t="n">
        <v>71</v>
      </c>
      <c r="B75" s="37" t="s">
        <v>1663</v>
      </c>
      <c r="C75" s="38" t="s">
        <v>1664</v>
      </c>
      <c r="D75" s="39"/>
      <c r="E75" s="39"/>
      <c r="F75" s="38"/>
      <c r="G75" s="38"/>
      <c r="H75" s="38"/>
      <c r="I75" s="38"/>
    </row>
    <row r="76" customFormat="false" ht="37.5" hidden="false" customHeight="true" outlineLevel="0" collapsed="false">
      <c r="A76" s="40" t="n">
        <v>72</v>
      </c>
      <c r="B76" s="41" t="s">
        <v>1665</v>
      </c>
      <c r="C76" s="42" t="s">
        <v>1666</v>
      </c>
      <c r="D76" s="39"/>
      <c r="E76" s="43"/>
      <c r="F76" s="42"/>
      <c r="G76" s="42"/>
      <c r="H76" s="42"/>
      <c r="I76" s="42"/>
    </row>
    <row r="77" customFormat="false" ht="37.5" hidden="false" customHeight="true" outlineLevel="0" collapsed="false">
      <c r="A77" s="36" t="n">
        <v>73</v>
      </c>
      <c r="B77" s="37" t="s">
        <v>1667</v>
      </c>
      <c r="C77" s="38" t="s">
        <v>1668</v>
      </c>
      <c r="D77" s="39"/>
      <c r="E77" s="39"/>
      <c r="F77" s="38"/>
      <c r="G77" s="38"/>
      <c r="H77" s="38"/>
      <c r="I77" s="38"/>
    </row>
    <row r="78" customFormat="false" ht="37.5" hidden="false" customHeight="true" outlineLevel="0" collapsed="false">
      <c r="A78" s="40" t="n">
        <v>74</v>
      </c>
      <c r="B78" s="41" t="s">
        <v>1669</v>
      </c>
      <c r="C78" s="42" t="s">
        <v>1670</v>
      </c>
      <c r="D78" s="39"/>
      <c r="E78" s="43"/>
      <c r="F78" s="42"/>
      <c r="G78" s="42"/>
      <c r="H78" s="42"/>
      <c r="I78" s="42"/>
    </row>
    <row r="79" customFormat="false" ht="37.5" hidden="false" customHeight="true" outlineLevel="0" collapsed="false">
      <c r="A79" s="36" t="n">
        <v>75</v>
      </c>
      <c r="B79" s="37" t="s">
        <v>1671</v>
      </c>
      <c r="C79" s="38" t="s">
        <v>1672</v>
      </c>
      <c r="D79" s="39"/>
      <c r="E79" s="39"/>
      <c r="F79" s="38"/>
      <c r="G79" s="38"/>
      <c r="H79" s="38"/>
      <c r="I79" s="38"/>
    </row>
    <row r="80" customFormat="false" ht="37.5" hidden="false" customHeight="true" outlineLevel="0" collapsed="false">
      <c r="A80" s="40" t="n">
        <v>76</v>
      </c>
      <c r="B80" s="41" t="s">
        <v>1673</v>
      </c>
      <c r="C80" s="42" t="s">
        <v>1674</v>
      </c>
      <c r="D80" s="39"/>
      <c r="E80" s="43"/>
      <c r="F80" s="42"/>
      <c r="G80" s="42"/>
      <c r="H80" s="42"/>
      <c r="I80" s="42"/>
    </row>
    <row r="81" customFormat="false" ht="37.5" hidden="false" customHeight="true" outlineLevel="0" collapsed="false">
      <c r="A81" s="36" t="n">
        <v>77</v>
      </c>
      <c r="B81" s="37" t="s">
        <v>1675</v>
      </c>
      <c r="C81" s="38" t="s">
        <v>1676</v>
      </c>
      <c r="D81" s="39"/>
      <c r="E81" s="39"/>
      <c r="F81" s="38"/>
      <c r="G81" s="38"/>
      <c r="H81" s="38"/>
      <c r="I81" s="38"/>
    </row>
    <row r="82" customFormat="false" ht="37.5" hidden="false" customHeight="true" outlineLevel="0" collapsed="false">
      <c r="A82" s="40" t="n">
        <v>78</v>
      </c>
      <c r="B82" s="41" t="s">
        <v>1677</v>
      </c>
      <c r="C82" s="42" t="s">
        <v>1678</v>
      </c>
      <c r="D82" s="39"/>
      <c r="E82" s="43"/>
      <c r="F82" s="42"/>
      <c r="G82" s="42"/>
      <c r="H82" s="42"/>
      <c r="I82" s="42"/>
    </row>
    <row r="83" customFormat="false" ht="37.5" hidden="false" customHeight="true" outlineLevel="0" collapsed="false">
      <c r="A83" s="36" t="n">
        <v>79</v>
      </c>
      <c r="B83" s="37" t="s">
        <v>1679</v>
      </c>
      <c r="C83" s="38" t="s">
        <v>1680</v>
      </c>
      <c r="D83" s="39"/>
      <c r="E83" s="39"/>
      <c r="F83" s="38"/>
      <c r="G83" s="38"/>
      <c r="H83" s="38"/>
      <c r="I83" s="38"/>
    </row>
    <row r="84" customFormat="false" ht="37.5" hidden="false" customHeight="true" outlineLevel="0" collapsed="false">
      <c r="A84" s="40" t="n">
        <v>80</v>
      </c>
      <c r="B84" s="41" t="s">
        <v>1681</v>
      </c>
      <c r="C84" s="42" t="s">
        <v>1682</v>
      </c>
      <c r="D84" s="39"/>
      <c r="E84" s="43"/>
      <c r="F84" s="42"/>
      <c r="G84" s="42"/>
      <c r="H84" s="42"/>
      <c r="I84" s="42"/>
    </row>
    <row r="85" customFormat="false" ht="37.5" hidden="false" customHeight="true" outlineLevel="0" collapsed="false">
      <c r="A85" s="36" t="n">
        <v>81</v>
      </c>
      <c r="B85" s="37" t="s">
        <v>1683</v>
      </c>
      <c r="C85" s="38" t="s">
        <v>1684</v>
      </c>
      <c r="D85" s="39"/>
      <c r="E85" s="39"/>
      <c r="F85" s="38"/>
      <c r="G85" s="38"/>
      <c r="H85" s="38"/>
      <c r="I85" s="38"/>
    </row>
    <row r="86" customFormat="false" ht="37.5" hidden="false" customHeight="true" outlineLevel="0" collapsed="false">
      <c r="A86" s="40" t="n">
        <v>82</v>
      </c>
      <c r="B86" s="41" t="s">
        <v>1685</v>
      </c>
      <c r="C86" s="42" t="s">
        <v>1686</v>
      </c>
      <c r="D86" s="39"/>
      <c r="E86" s="43"/>
      <c r="F86" s="42"/>
      <c r="G86" s="42"/>
      <c r="H86" s="42"/>
      <c r="I86" s="42"/>
    </row>
    <row r="87" customFormat="false" ht="37.5" hidden="false" customHeight="true" outlineLevel="0" collapsed="false">
      <c r="A87" s="36" t="n">
        <v>83</v>
      </c>
      <c r="B87" s="37" t="s">
        <v>1687</v>
      </c>
      <c r="C87" s="38" t="s">
        <v>1688</v>
      </c>
      <c r="D87" s="39"/>
      <c r="E87" s="39"/>
      <c r="F87" s="38"/>
      <c r="G87" s="38"/>
      <c r="H87" s="38"/>
      <c r="I87" s="38"/>
    </row>
    <row r="88" customFormat="false" ht="37.5" hidden="false" customHeight="true" outlineLevel="0" collapsed="false">
      <c r="A88" s="40" t="n">
        <v>84</v>
      </c>
      <c r="B88" s="41" t="s">
        <v>1689</v>
      </c>
      <c r="C88" s="42" t="s">
        <v>1690</v>
      </c>
      <c r="D88" s="39"/>
      <c r="E88" s="43"/>
      <c r="F88" s="42"/>
      <c r="G88" s="42"/>
      <c r="H88" s="42"/>
      <c r="I88" s="42"/>
    </row>
    <row r="89" customFormat="false" ht="37.5" hidden="false" customHeight="true" outlineLevel="0" collapsed="false">
      <c r="A89" s="36" t="n">
        <v>85</v>
      </c>
      <c r="B89" s="37" t="s">
        <v>1691</v>
      </c>
      <c r="C89" s="38" t="s">
        <v>1692</v>
      </c>
      <c r="D89" s="39"/>
      <c r="E89" s="39"/>
      <c r="F89" s="38"/>
      <c r="G89" s="38"/>
      <c r="H89" s="38"/>
      <c r="I89" s="38"/>
    </row>
    <row r="90" customFormat="false" ht="37.5" hidden="false" customHeight="true" outlineLevel="0" collapsed="false">
      <c r="A90" s="40" t="n">
        <v>86</v>
      </c>
      <c r="B90" s="41" t="s">
        <v>1693</v>
      </c>
      <c r="C90" s="42" t="s">
        <v>1694</v>
      </c>
      <c r="D90" s="39"/>
      <c r="E90" s="43"/>
      <c r="F90" s="42"/>
      <c r="G90" s="42"/>
      <c r="H90" s="42"/>
      <c r="I90" s="42"/>
    </row>
    <row r="91" customFormat="false" ht="37.5" hidden="false" customHeight="true" outlineLevel="0" collapsed="false">
      <c r="A91" s="36" t="n">
        <v>87</v>
      </c>
      <c r="B91" s="37" t="s">
        <v>1695</v>
      </c>
      <c r="C91" s="38" t="s">
        <v>1696</v>
      </c>
      <c r="D91" s="39"/>
      <c r="E91" s="39"/>
      <c r="F91" s="38"/>
      <c r="G91" s="38"/>
      <c r="H91" s="38"/>
      <c r="I91" s="38"/>
    </row>
    <row r="92" customFormat="false" ht="37.5" hidden="false" customHeight="true" outlineLevel="0" collapsed="false">
      <c r="A92" s="40" t="n">
        <v>88</v>
      </c>
      <c r="B92" s="41" t="s">
        <v>1697</v>
      </c>
      <c r="C92" s="42" t="s">
        <v>1698</v>
      </c>
      <c r="D92" s="39"/>
      <c r="E92" s="43"/>
      <c r="F92" s="42"/>
      <c r="G92" s="42"/>
      <c r="H92" s="42"/>
      <c r="I92" s="42"/>
    </row>
    <row r="93" customFormat="false" ht="37.5" hidden="false" customHeight="true" outlineLevel="0" collapsed="false">
      <c r="A93" s="36" t="n">
        <v>89</v>
      </c>
      <c r="B93" s="37" t="s">
        <v>1699</v>
      </c>
      <c r="C93" s="38" t="s">
        <v>1700</v>
      </c>
      <c r="D93" s="39"/>
      <c r="E93" s="39"/>
      <c r="F93" s="38"/>
      <c r="G93" s="38"/>
      <c r="H93" s="38"/>
      <c r="I93" s="38"/>
    </row>
    <row r="94" customFormat="false" ht="37.5" hidden="false" customHeight="true" outlineLevel="0" collapsed="false">
      <c r="A94" s="40" t="n">
        <v>90</v>
      </c>
      <c r="B94" s="41" t="s">
        <v>1701</v>
      </c>
      <c r="C94" s="42" t="s">
        <v>1702</v>
      </c>
      <c r="D94" s="39"/>
      <c r="E94" s="43"/>
      <c r="F94" s="42"/>
      <c r="G94" s="42"/>
      <c r="H94" s="42"/>
      <c r="I94" s="42"/>
    </row>
    <row r="95" customFormat="false" ht="37.5" hidden="false" customHeight="true" outlineLevel="0" collapsed="false">
      <c r="A95" s="36" t="n">
        <v>91</v>
      </c>
      <c r="B95" s="37" t="s">
        <v>1703</v>
      </c>
      <c r="C95" s="38" t="s">
        <v>1704</v>
      </c>
      <c r="D95" s="39"/>
      <c r="E95" s="39"/>
      <c r="F95" s="38"/>
      <c r="G95" s="38"/>
      <c r="H95" s="38"/>
      <c r="I95" s="38"/>
    </row>
    <row r="96" customFormat="false" ht="37.5" hidden="false" customHeight="true" outlineLevel="0" collapsed="false">
      <c r="A96" s="40" t="n">
        <v>92</v>
      </c>
      <c r="B96" s="41" t="s">
        <v>1705</v>
      </c>
      <c r="C96" s="42" t="s">
        <v>1706</v>
      </c>
      <c r="D96" s="39"/>
      <c r="E96" s="43"/>
      <c r="F96" s="42"/>
      <c r="G96" s="42"/>
      <c r="H96" s="42"/>
      <c r="I96" s="42"/>
    </row>
    <row r="97" customFormat="false" ht="37.5" hidden="false" customHeight="true" outlineLevel="0" collapsed="false">
      <c r="A97" s="36" t="n">
        <v>93</v>
      </c>
      <c r="B97" s="37" t="s">
        <v>1707</v>
      </c>
      <c r="C97" s="38" t="s">
        <v>1708</v>
      </c>
      <c r="D97" s="39"/>
      <c r="E97" s="39"/>
      <c r="F97" s="38"/>
      <c r="G97" s="38"/>
      <c r="H97" s="38"/>
      <c r="I97" s="38"/>
    </row>
    <row r="98" customFormat="false" ht="37.5" hidden="false" customHeight="true" outlineLevel="0" collapsed="false">
      <c r="A98" s="40" t="n">
        <v>94</v>
      </c>
      <c r="B98" s="41" t="s">
        <v>1709</v>
      </c>
      <c r="C98" s="42" t="s">
        <v>1710</v>
      </c>
      <c r="D98" s="39"/>
      <c r="E98" s="43"/>
      <c r="F98" s="42"/>
      <c r="G98" s="42"/>
      <c r="H98" s="42"/>
      <c r="I98" s="42"/>
    </row>
    <row r="99" customFormat="false" ht="37.5" hidden="false" customHeight="true" outlineLevel="0" collapsed="false">
      <c r="A99" s="36" t="n">
        <v>95</v>
      </c>
      <c r="B99" s="37" t="s">
        <v>1711</v>
      </c>
      <c r="C99" s="38" t="s">
        <v>1712</v>
      </c>
      <c r="D99" s="39"/>
      <c r="E99" s="39"/>
      <c r="F99" s="38"/>
      <c r="G99" s="38"/>
      <c r="H99" s="38"/>
      <c r="I99" s="38"/>
    </row>
    <row r="100" customFormat="false" ht="37.5" hidden="false" customHeight="true" outlineLevel="0" collapsed="false">
      <c r="A100" s="40" t="n">
        <v>96</v>
      </c>
      <c r="B100" s="41" t="s">
        <v>1713</v>
      </c>
      <c r="C100" s="42" t="s">
        <v>1714</v>
      </c>
      <c r="D100" s="39"/>
      <c r="E100" s="43"/>
      <c r="F100" s="42"/>
      <c r="G100" s="42"/>
      <c r="H100" s="42"/>
      <c r="I100" s="42"/>
    </row>
    <row r="101" customFormat="false" ht="37.5" hidden="false" customHeight="true" outlineLevel="0" collapsed="false">
      <c r="A101" s="36" t="n">
        <v>97</v>
      </c>
      <c r="B101" s="37" t="s">
        <v>1715</v>
      </c>
      <c r="C101" s="38" t="s">
        <v>1716</v>
      </c>
      <c r="D101" s="39"/>
      <c r="E101" s="39"/>
      <c r="F101" s="38"/>
      <c r="G101" s="38"/>
      <c r="H101" s="38"/>
      <c r="I101" s="38"/>
    </row>
    <row r="102" customFormat="false" ht="37.5" hidden="false" customHeight="true" outlineLevel="0" collapsed="false">
      <c r="A102" s="40" t="n">
        <v>98</v>
      </c>
      <c r="B102" s="41" t="s">
        <v>1717</v>
      </c>
      <c r="C102" s="42" t="s">
        <v>1718</v>
      </c>
      <c r="D102" s="39"/>
      <c r="E102" s="43"/>
      <c r="F102" s="42"/>
      <c r="G102" s="42"/>
      <c r="H102" s="42"/>
      <c r="I102" s="42"/>
    </row>
    <row r="103" customFormat="false" ht="37.5" hidden="false" customHeight="true" outlineLevel="0" collapsed="false">
      <c r="A103" s="36" t="n">
        <v>99</v>
      </c>
      <c r="B103" s="37" t="s">
        <v>1719</v>
      </c>
      <c r="C103" s="38" t="s">
        <v>1720</v>
      </c>
      <c r="D103" s="39"/>
      <c r="E103" s="39"/>
      <c r="F103" s="38"/>
      <c r="G103" s="38"/>
      <c r="H103" s="38"/>
      <c r="I103" s="38"/>
    </row>
    <row r="104" customFormat="false" ht="37.5" hidden="false" customHeight="true" outlineLevel="0" collapsed="false">
      <c r="A104" s="40" t="n">
        <v>100</v>
      </c>
      <c r="B104" s="41" t="s">
        <v>1721</v>
      </c>
      <c r="C104" s="42" t="s">
        <v>1722</v>
      </c>
      <c r="D104" s="39"/>
      <c r="E104" s="43"/>
      <c r="F104" s="42"/>
      <c r="G104" s="42"/>
      <c r="H104" s="42"/>
      <c r="I104" s="42"/>
    </row>
    <row r="105" customFormat="false" ht="37.5" hidden="false" customHeight="true" outlineLevel="0" collapsed="false">
      <c r="A105" s="36" t="n">
        <v>101</v>
      </c>
      <c r="B105" s="37" t="s">
        <v>1723</v>
      </c>
      <c r="C105" s="38" t="s">
        <v>1724</v>
      </c>
      <c r="D105" s="39"/>
      <c r="E105" s="39"/>
      <c r="F105" s="38"/>
      <c r="G105" s="38"/>
      <c r="H105" s="38"/>
      <c r="I105" s="38"/>
    </row>
    <row r="106" customFormat="false" ht="37.5" hidden="false" customHeight="true" outlineLevel="0" collapsed="false">
      <c r="A106" s="40" t="n">
        <v>102</v>
      </c>
      <c r="B106" s="41" t="s">
        <v>1725</v>
      </c>
      <c r="C106" s="42" t="s">
        <v>1726</v>
      </c>
      <c r="D106" s="39"/>
      <c r="E106" s="43"/>
      <c r="F106" s="42"/>
      <c r="G106" s="42"/>
      <c r="H106" s="42"/>
      <c r="I106" s="42"/>
    </row>
    <row r="107" customFormat="false" ht="37.5" hidden="false" customHeight="true" outlineLevel="0" collapsed="false">
      <c r="A107" s="36" t="n">
        <v>103</v>
      </c>
      <c r="B107" s="37" t="s">
        <v>1727</v>
      </c>
      <c r="C107" s="38" t="s">
        <v>1728</v>
      </c>
      <c r="D107" s="39"/>
      <c r="E107" s="39"/>
      <c r="F107" s="38"/>
      <c r="G107" s="38"/>
      <c r="H107" s="38"/>
      <c r="I107" s="38"/>
    </row>
    <row r="108" customFormat="false" ht="37.5" hidden="false" customHeight="true" outlineLevel="0" collapsed="false">
      <c r="A108" s="40" t="n">
        <v>104</v>
      </c>
      <c r="B108" s="41" t="s">
        <v>1729</v>
      </c>
      <c r="C108" s="42" t="s">
        <v>1730</v>
      </c>
      <c r="D108" s="39"/>
      <c r="E108" s="43"/>
      <c r="F108" s="42"/>
      <c r="G108" s="42"/>
      <c r="H108" s="42"/>
      <c r="I108" s="42"/>
    </row>
    <row r="109" customFormat="false" ht="37.5" hidden="false" customHeight="true" outlineLevel="0" collapsed="false">
      <c r="A109" s="36" t="n">
        <v>105</v>
      </c>
      <c r="B109" s="37" t="s">
        <v>1731</v>
      </c>
      <c r="C109" s="38" t="s">
        <v>1732</v>
      </c>
      <c r="D109" s="39"/>
      <c r="E109" s="39"/>
      <c r="F109" s="38"/>
      <c r="G109" s="38"/>
      <c r="H109" s="38"/>
      <c r="I109" s="38"/>
    </row>
    <row r="110" customFormat="false" ht="37.5" hidden="false" customHeight="true" outlineLevel="0" collapsed="false">
      <c r="A110" s="40" t="n">
        <v>106</v>
      </c>
      <c r="B110" s="41" t="s">
        <v>1733</v>
      </c>
      <c r="C110" s="42" t="s">
        <v>1734</v>
      </c>
      <c r="D110" s="39"/>
      <c r="E110" s="43"/>
      <c r="F110" s="42"/>
      <c r="G110" s="42"/>
      <c r="H110" s="42"/>
      <c r="I110" s="42"/>
    </row>
    <row r="111" customFormat="false" ht="37.5" hidden="false" customHeight="true" outlineLevel="0" collapsed="false">
      <c r="A111" s="36" t="n">
        <v>107</v>
      </c>
      <c r="B111" s="37" t="s">
        <v>1735</v>
      </c>
      <c r="C111" s="38" t="s">
        <v>1736</v>
      </c>
      <c r="D111" s="39"/>
      <c r="E111" s="39"/>
      <c r="F111" s="38"/>
      <c r="G111" s="38"/>
      <c r="H111" s="38"/>
      <c r="I111" s="38"/>
    </row>
    <row r="112" customFormat="false" ht="37.5" hidden="false" customHeight="true" outlineLevel="0" collapsed="false">
      <c r="A112" s="40" t="n">
        <v>108</v>
      </c>
      <c r="B112" s="41" t="s">
        <v>1737</v>
      </c>
      <c r="C112" s="42" t="s">
        <v>1738</v>
      </c>
      <c r="D112" s="39"/>
      <c r="E112" s="43"/>
      <c r="F112" s="42"/>
      <c r="G112" s="42"/>
      <c r="H112" s="42"/>
      <c r="I112" s="42"/>
    </row>
    <row r="113" customFormat="false" ht="37.5" hidden="false" customHeight="true" outlineLevel="0" collapsed="false">
      <c r="A113" s="36" t="n">
        <v>109</v>
      </c>
      <c r="B113" s="37" t="s">
        <v>1739</v>
      </c>
      <c r="C113" s="38" t="s">
        <v>1740</v>
      </c>
      <c r="D113" s="39"/>
      <c r="E113" s="39"/>
      <c r="F113" s="38"/>
      <c r="G113" s="38"/>
      <c r="H113" s="38"/>
      <c r="I113" s="38"/>
    </row>
    <row r="114" customFormat="false" ht="37.5" hidden="false" customHeight="true" outlineLevel="0" collapsed="false">
      <c r="A114" s="40" t="n">
        <v>110</v>
      </c>
      <c r="B114" s="41" t="s">
        <v>1741</v>
      </c>
      <c r="C114" s="42" t="s">
        <v>1742</v>
      </c>
      <c r="D114" s="39"/>
      <c r="E114" s="43"/>
      <c r="F114" s="42"/>
      <c r="G114" s="42"/>
      <c r="H114" s="42"/>
      <c r="I114" s="42"/>
    </row>
    <row r="115" customFormat="false" ht="37.5" hidden="false" customHeight="true" outlineLevel="0" collapsed="false">
      <c r="A115" s="36" t="n">
        <v>111</v>
      </c>
      <c r="B115" s="37" t="s">
        <v>1743</v>
      </c>
      <c r="C115" s="38" t="s">
        <v>1744</v>
      </c>
      <c r="D115" s="39"/>
      <c r="E115" s="39"/>
      <c r="F115" s="38"/>
      <c r="G115" s="38"/>
      <c r="H115" s="38"/>
      <c r="I115" s="38"/>
    </row>
    <row r="116" customFormat="false" ht="37.5" hidden="false" customHeight="true" outlineLevel="0" collapsed="false">
      <c r="A116" s="40" t="n">
        <v>112</v>
      </c>
      <c r="B116" s="41" t="s">
        <v>1745</v>
      </c>
      <c r="C116" s="42" t="s">
        <v>1746</v>
      </c>
      <c r="D116" s="39"/>
      <c r="E116" s="43"/>
      <c r="F116" s="42"/>
      <c r="G116" s="42"/>
      <c r="H116" s="42"/>
      <c r="I116" s="42"/>
    </row>
    <row r="117" customFormat="false" ht="37.5" hidden="false" customHeight="true" outlineLevel="0" collapsed="false">
      <c r="A117" s="36" t="n">
        <v>113</v>
      </c>
      <c r="B117" s="37" t="s">
        <v>1747</v>
      </c>
      <c r="C117" s="38" t="s">
        <v>1748</v>
      </c>
      <c r="D117" s="39"/>
      <c r="E117" s="39"/>
      <c r="F117" s="38"/>
      <c r="G117" s="38"/>
      <c r="H117" s="38"/>
      <c r="I117" s="38"/>
    </row>
    <row r="118" customFormat="false" ht="37.5" hidden="false" customHeight="true" outlineLevel="0" collapsed="false">
      <c r="A118" s="40" t="n">
        <v>114</v>
      </c>
      <c r="B118" s="41" t="s">
        <v>1749</v>
      </c>
      <c r="C118" s="42" t="s">
        <v>1750</v>
      </c>
      <c r="D118" s="39"/>
      <c r="E118" s="43"/>
      <c r="F118" s="42"/>
      <c r="G118" s="42"/>
      <c r="H118" s="42"/>
      <c r="I118" s="42"/>
    </row>
    <row r="119" customFormat="false" ht="37.5" hidden="false" customHeight="true" outlineLevel="0" collapsed="false">
      <c r="A119" s="36" t="n">
        <v>115</v>
      </c>
      <c r="B119" s="37" t="s">
        <v>1751</v>
      </c>
      <c r="C119" s="38" t="s">
        <v>1752</v>
      </c>
      <c r="D119" s="39"/>
      <c r="E119" s="39"/>
      <c r="F119" s="38"/>
      <c r="G119" s="38"/>
      <c r="H119" s="38"/>
      <c r="I119" s="38"/>
    </row>
    <row r="120" customFormat="false" ht="37.5" hidden="false" customHeight="true" outlineLevel="0" collapsed="false">
      <c r="A120" s="40" t="n">
        <v>116</v>
      </c>
      <c r="B120" s="41" t="s">
        <v>1753</v>
      </c>
      <c r="C120" s="42" t="s">
        <v>1754</v>
      </c>
      <c r="D120" s="39"/>
      <c r="E120" s="43"/>
      <c r="F120" s="42"/>
      <c r="G120" s="42"/>
      <c r="H120" s="42"/>
      <c r="I120" s="42"/>
    </row>
    <row r="121" customFormat="false" ht="37.5" hidden="false" customHeight="true" outlineLevel="0" collapsed="false">
      <c r="A121" s="36" t="n">
        <v>117</v>
      </c>
      <c r="B121" s="37" t="s">
        <v>1755</v>
      </c>
      <c r="C121" s="38" t="s">
        <v>1756</v>
      </c>
      <c r="D121" s="39"/>
      <c r="E121" s="39"/>
      <c r="F121" s="38"/>
      <c r="G121" s="38"/>
      <c r="H121" s="38"/>
      <c r="I121" s="38"/>
    </row>
    <row r="122" customFormat="false" ht="37.5" hidden="false" customHeight="true" outlineLevel="0" collapsed="false">
      <c r="A122" s="40" t="n">
        <v>118</v>
      </c>
      <c r="B122" s="41" t="s">
        <v>1757</v>
      </c>
      <c r="C122" s="42" t="s">
        <v>1758</v>
      </c>
      <c r="D122" s="39"/>
      <c r="E122" s="43"/>
      <c r="F122" s="42"/>
      <c r="G122" s="42"/>
      <c r="H122" s="42"/>
      <c r="I122" s="42"/>
    </row>
    <row r="123" customFormat="false" ht="37.5" hidden="false" customHeight="true" outlineLevel="0" collapsed="false">
      <c r="A123" s="36" t="n">
        <v>119</v>
      </c>
      <c r="B123" s="37" t="s">
        <v>1759</v>
      </c>
      <c r="C123" s="38" t="s">
        <v>1760</v>
      </c>
      <c r="D123" s="39"/>
      <c r="E123" s="39"/>
      <c r="F123" s="38"/>
      <c r="G123" s="38"/>
      <c r="H123" s="38"/>
      <c r="I123" s="38"/>
    </row>
    <row r="124" customFormat="false" ht="37.5" hidden="false" customHeight="true" outlineLevel="0" collapsed="false">
      <c r="A124" s="40" t="n">
        <v>120</v>
      </c>
      <c r="B124" s="41" t="s">
        <v>1761</v>
      </c>
      <c r="C124" s="42" t="s">
        <v>1762</v>
      </c>
      <c r="D124" s="39"/>
      <c r="E124" s="43"/>
      <c r="F124" s="42"/>
      <c r="G124" s="42"/>
      <c r="H124" s="42"/>
      <c r="I124" s="42"/>
    </row>
    <row r="125" customFormat="false" ht="37.5" hidden="false" customHeight="true" outlineLevel="0" collapsed="false">
      <c r="A125" s="36" t="n">
        <v>121</v>
      </c>
      <c r="B125" s="37" t="s">
        <v>1763</v>
      </c>
      <c r="C125" s="38" t="s">
        <v>1764</v>
      </c>
      <c r="D125" s="39"/>
      <c r="E125" s="39"/>
      <c r="F125" s="38"/>
      <c r="G125" s="38"/>
      <c r="H125" s="38"/>
      <c r="I125" s="38"/>
    </row>
    <row r="126" customFormat="false" ht="37.5" hidden="false" customHeight="true" outlineLevel="0" collapsed="false">
      <c r="A126" s="40" t="n">
        <v>122</v>
      </c>
      <c r="B126" s="41" t="s">
        <v>1765</v>
      </c>
      <c r="C126" s="42" t="s">
        <v>1766</v>
      </c>
      <c r="D126" s="39"/>
      <c r="E126" s="43"/>
      <c r="F126" s="42"/>
      <c r="G126" s="42"/>
      <c r="H126" s="42"/>
      <c r="I126" s="42"/>
    </row>
    <row r="127" customFormat="false" ht="37.5" hidden="false" customHeight="true" outlineLevel="0" collapsed="false">
      <c r="A127" s="36" t="n">
        <v>123</v>
      </c>
      <c r="B127" s="37" t="s">
        <v>1767</v>
      </c>
      <c r="C127" s="38" t="s">
        <v>1768</v>
      </c>
      <c r="D127" s="39"/>
      <c r="E127" s="39"/>
      <c r="F127" s="38"/>
      <c r="G127" s="38"/>
      <c r="H127" s="38"/>
      <c r="I127" s="38"/>
    </row>
    <row r="128" customFormat="false" ht="37.5" hidden="false" customHeight="true" outlineLevel="0" collapsed="false">
      <c r="A128" s="40" t="n">
        <v>124</v>
      </c>
      <c r="B128" s="41" t="s">
        <v>1769</v>
      </c>
      <c r="C128" s="42" t="s">
        <v>1770</v>
      </c>
      <c r="D128" s="39"/>
      <c r="E128" s="43"/>
      <c r="F128" s="42"/>
      <c r="G128" s="42"/>
      <c r="H128" s="42"/>
      <c r="I128" s="42"/>
    </row>
    <row r="129" customFormat="false" ht="37.5" hidden="false" customHeight="true" outlineLevel="0" collapsed="false">
      <c r="A129" s="36" t="n">
        <v>125</v>
      </c>
      <c r="B129" s="37" t="s">
        <v>1771</v>
      </c>
      <c r="C129" s="38" t="s">
        <v>1772</v>
      </c>
      <c r="D129" s="39"/>
      <c r="E129" s="39"/>
      <c r="F129" s="38"/>
      <c r="G129" s="38"/>
      <c r="H129" s="38"/>
      <c r="I129" s="38"/>
    </row>
    <row r="130" customFormat="false" ht="37.5" hidden="false" customHeight="true" outlineLevel="0" collapsed="false">
      <c r="A130" s="40" t="n">
        <v>126</v>
      </c>
      <c r="B130" s="41" t="s">
        <v>1773</v>
      </c>
      <c r="C130" s="42" t="s">
        <v>1774</v>
      </c>
      <c r="D130" s="39"/>
      <c r="E130" s="43"/>
      <c r="F130" s="42"/>
      <c r="G130" s="42"/>
      <c r="H130" s="42"/>
      <c r="I130" s="42"/>
    </row>
    <row r="131" customFormat="false" ht="37.5" hidden="false" customHeight="true" outlineLevel="0" collapsed="false">
      <c r="A131" s="36" t="n">
        <v>127</v>
      </c>
      <c r="B131" s="37" t="s">
        <v>1775</v>
      </c>
      <c r="C131" s="38" t="s">
        <v>1776</v>
      </c>
      <c r="D131" s="39"/>
      <c r="E131" s="39"/>
      <c r="F131" s="38"/>
      <c r="G131" s="38"/>
      <c r="H131" s="38"/>
      <c r="I131" s="38"/>
    </row>
    <row r="132" customFormat="false" ht="37.5" hidden="false" customHeight="true" outlineLevel="0" collapsed="false">
      <c r="A132" s="40" t="n">
        <v>128</v>
      </c>
      <c r="B132" s="41" t="s">
        <v>1777</v>
      </c>
      <c r="C132" s="42" t="s">
        <v>1778</v>
      </c>
      <c r="D132" s="39"/>
      <c r="E132" s="43"/>
      <c r="F132" s="42"/>
      <c r="G132" s="42"/>
      <c r="H132" s="42"/>
      <c r="I132" s="42"/>
    </row>
  </sheetData>
  <autoFilter ref="A4:I132"/>
  <mergeCells count="2">
    <mergeCell ref="A1:I1"/>
    <mergeCell ref="A2:I2"/>
  </mergeCells>
  <conditionalFormatting sqref="D5:D132">
    <cfRule type="cellIs" priority="2" operator="equal" aboveAverage="0" equalAverage="0" bottom="0" percent="0" rank="0" text="" dxfId="7">
      <formula>"Oui"</formula>
    </cfRule>
    <cfRule type="cellIs" priority="3" operator="equal" aboveAverage="0" equalAverage="0" bottom="0" percent="0" rank="0" text="" dxfId="8">
      <formula>"Non"</formula>
    </cfRule>
    <cfRule type="cellIs" priority="4" operator="equal" aboveAverage="0" equalAverage="0" bottom="0" percent="0" rank="0" text="" dxfId="9">
      <formula>"Sans objet"</formula>
    </cfRule>
    <cfRule type="cellIs" priority="5" operator="equal" aboveAverage="0" equalAverage="0" bottom="0" percent="0" rank="0" text="" dxfId="10">
      <formula>"À évaluer"</formula>
    </cfRule>
  </conditionalFormatting>
  <dataValidations count="1">
    <dataValidation allowBlank="true" error="Choix invalide" errorStyle="stop" errorTitle="Statut non valide" operator="between" prompt="Sélectionnez : Oui / Non / Sans objet / À évaluer" promptTitle="Statut" showDropDown="false" showErrorMessage="false" showInputMessage="false" sqref="D5:D151" type="list">
      <formula1>"Oui,Non,Sans objet,À évaluer"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2026-04-28T17:59:26Z</dcterms:created>
  <dc:creator>openpyxl</dc:creator>
  <dc:description/>
  <dc:language>en-US</dc:language>
  <cp:lastModifiedBy/>
  <dcterms:modified xsi:type="dcterms:W3CDTF">2026-04-28T17:59:26Z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